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040" windowHeight="10632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<sst xmlns="http://schemas.openxmlformats.org/spreadsheetml/2006/main" count="211" uniqueCount="156">
  <si>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</si>
  <si>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</si>
  <si>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</si>
  <si>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</si>
  <si>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</si>
  <si>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</si>
  <si>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</si>
  <si>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</si>
  <si>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</si>
  <si>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</si>
  <si>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</si>
  <si>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</si>
  <si>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</si>
  <si>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</si>
  <si>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</si>
  <si>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</si>
  <si>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</si>
  <si>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</si>
  <si>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</si>
  <si>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</si>
  <si>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</si>
  <si>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</si>
  <si>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</si>
  <si>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</si>
  <si>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</si>
  <si>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</si>
  <si>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</si>
  <si>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</si>
  <si>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</si>
  <si>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</si>
  <si>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</si>
  <si>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</si>
  <si>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</si>
  <si>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</si>
  <si>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</si>
  <si>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</si>
  <si>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</si>
  <si>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</si>
  <si>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</si>
  <si>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</si>
  <si>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</si>
  <si>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</si>
  <si>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</si>
  <si>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</si>
  <si>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</si>
  <si>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</si>
  <si>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</si>
  <si>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</si>
  <si>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</si>
  <si>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</si>
  <si>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</si>
  <si>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</si>
  <si>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</si>
  <si>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</si>
  <si>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</si>
  <si>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</si>
  <si>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</si>
  <si>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</si>
  <si>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</si>
  <si>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</si>
  <si>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</si>
  <si>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</si>
  <si>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</si>
  <si>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</si>
  <si>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</si>
  <si>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</si>
  <si>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</si>
  <si>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</si>
  <si>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</si>
  <si>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</si>
  <si>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</si>
  <si>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</si>
  <si>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</si>
  <si>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</si>
  <si>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</si>
  <si>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</si>
  <si>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</si>
  <si>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</si>
  <si>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</si>
  <si>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</si>
  <si>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</si>
  <si>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</si>
  <si>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</si>
  <si>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</si>
  <si>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</si>
  <si>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</si>
  <si>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</si>
  <si>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</si>
  <si>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</si>
  <si>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</si>
  <si>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</si>
  <si>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</si>
  <si>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</si>
  <si>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</si>
  <si>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</si>
  <si>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</si>
  <si>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</si>
  <si>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</si>
  <si>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</si>
  <si>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</si>
  <si>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</si>
  <si>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</si>
  <si>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</si>
  <si>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</si>
  <si>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</si>
  <si>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</si>
  <si>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</si>
  <si>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</si>
  <si>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</si>
  <si>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</si>
  <si>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</si>
  <si>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</si>
  <si>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</si>
  <si>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</si>
  <si>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</si>
  <si>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</si>
  <si>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</si>
  <si>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</si>
  <si>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</si>
  <si>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</si>
  <si>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</si>
  <si>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</si>
  <si>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</si>
  <si>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</si>
  <si>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</si>
  <si>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</si>
  <si>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</si>
  <si>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</si>
  <si>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</si>
  <si>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</si>
  <si>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</si>
  <si>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</si>
  <si>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</si>
  <si>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</si>
  <si>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</si>
  <si>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</si>
  <si>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</si>
  <si>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</si>
  <si>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</si>
  <si>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</si>
  <si>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</si>
  <si>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</si>
  <si>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</si>
  <si>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</si>
  <si>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</si>
  <si>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</si>
  <si>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</si>
  <si>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</si>
  <si>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</si>
  <si>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</si>
  <si>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</si>
  <si>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</si>
  <si>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</si>
  <si>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44-24</t>
  </si>
  <si>
    <t>DZAZW</t>
  </si>
  <si>
    <t>W/2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</si>
</sst>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F10" sqref="F10:G14"/>
    </sheetView>
  </sheetViews>
  <sheetFormatPr baseColWidth="10" defaultColWidth="11.44140625" defaultRowHeight="12.9" customHeight="1" x14ac:dyDescent="0.3"/>
  <cols>
    <col min="1" max="1" width="27.6640625" style="1" customWidth="1"/>
    <col min="2" max="3" width="9.109375" style="1" customWidth="1"/>
    <col min="4" max="4" width="1.6640625" style="1" customWidth="1"/>
    <col min="5" max="5" width="27.6640625" style="1" customWidth="1"/>
    <col min="6" max="7" width="9.109375" style="1" customWidth="1"/>
    <col min="8" max="8" width="1.6640625" style="1" customWidth="1"/>
    <col min="9" max="9" width="27.6640625" style="1" customWidth="1"/>
    <col min="10" max="11" width="9.109375" style="1" customWidth="1"/>
    <col min="12" max="16384" width="11.44140625" style="1"/>
  </cols>
  <sheetData>
    <row r="1" spans="1:11" ht="8.1" customHeigh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3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3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3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3">
      <c r="A6" s="2" t="s">
        <v>78</v>
      </c>
      <c r="B6" s="39" t="s">
        <v>153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3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2">
        <v>570.6</v>
      </c>
      <c r="K7" s="62"/>
    </row>
    <row r="8" spans="1:11" ht="15" customHeight="1" x14ac:dyDescent="0.3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1907</v>
      </c>
      <c r="K8" s="61"/>
    </row>
    <row r="9" spans="1:11" ht="15" customHeight="1" x14ac:dyDescent="0.3">
      <c r="A9" s="2" t="s">
        <v>66</v>
      </c>
      <c r="B9" s="54">
        <v>7112024</v>
      </c>
      <c r="C9" s="54"/>
      <c r="E9" s="2" t="s">
        <v>70</v>
      </c>
      <c r="F9" s="40"/>
      <c r="G9" s="40"/>
      <c r="I9" s="2" t="s">
        <v>39</v>
      </c>
      <c r="J9" s="55">
        <v>74212</v>
      </c>
      <c r="K9" s="55"/>
    </row>
    <row r="10" spans="1:11" ht="15" customHeight="1" x14ac:dyDescent="0.3">
      <c r="A10" s="2" t="s">
        <v>67</v>
      </c>
      <c r="B10" s="12">
        <v>900</v>
      </c>
      <c r="C10" s="13">
        <v>100</v>
      </c>
      <c r="E10" s="2" t="s">
        <v>72</v>
      </c>
      <c r="F10" s="40">
        <v>5706876</v>
      </c>
      <c r="G10" s="40"/>
      <c r="I10" s="42" t="s">
        <v>56</v>
      </c>
      <c r="J10" s="42"/>
      <c r="K10" s="42"/>
    </row>
    <row r="11" spans="1:11" ht="15" customHeight="1" x14ac:dyDescent="0.3">
      <c r="A11" s="2" t="s">
        <v>20</v>
      </c>
      <c r="B11" s="41">
        <v>2247</v>
      </c>
      <c r="C11" s="41"/>
      <c r="E11" s="2" t="s">
        <v>73</v>
      </c>
      <c r="F11" s="40">
        <v>8265393</v>
      </c>
      <c r="G11" s="40"/>
      <c r="I11" s="2" t="s">
        <v>37</v>
      </c>
      <c r="J11" s="40">
        <v>119453706</v>
      </c>
      <c r="K11" s="40"/>
    </row>
    <row r="12" spans="1:11" ht="15" customHeight="1" x14ac:dyDescent="0.3">
      <c r="A12" s="2" t="s">
        <v>38</v>
      </c>
      <c r="B12" s="41">
        <v>263454</v>
      </c>
      <c r="C12" s="41"/>
      <c r="E12" s="2" t="s">
        <v>74</v>
      </c>
      <c r="F12" s="40">
        <v>7959636</v>
      </c>
      <c r="G12" s="40"/>
      <c r="I12" s="2" t="s">
        <v>35</v>
      </c>
      <c r="J12" s="40">
        <v>119268146</v>
      </c>
      <c r="K12" s="40"/>
    </row>
    <row r="13" spans="1:11" ht="15" customHeight="1" x14ac:dyDescent="0.3">
      <c r="E13" s="2" t="s">
        <v>75</v>
      </c>
      <c r="F13" s="40">
        <v>5657739</v>
      </c>
      <c r="G13" s="40"/>
      <c r="I13" s="42" t="s">
        <v>96</v>
      </c>
      <c r="J13" s="42"/>
      <c r="K13" s="42"/>
    </row>
    <row r="14" spans="1:11" ht="15" customHeight="1" x14ac:dyDescent="0.3">
      <c r="E14" s="2" t="s">
        <v>71</v>
      </c>
      <c r="F14" s="40">
        <v>9635454</v>
      </c>
      <c r="G14" s="40"/>
      <c r="I14" s="2" t="s">
        <v>91</v>
      </c>
      <c r="J14" s="41">
        <v>0</v>
      </c>
      <c r="K14" s="41"/>
    </row>
    <row r="15" spans="1:11" ht="15" customHeight="1" x14ac:dyDescent="0.3">
      <c r="E15" s="2" t="s">
        <v>76</v>
      </c>
      <c r="F15" s="40">
        <v>1266498</v>
      </c>
      <c r="G15" s="40"/>
      <c r="I15" s="2" t="s">
        <v>92</v>
      </c>
      <c r="J15" s="56">
        <v>0</v>
      </c>
      <c r="K15" s="57"/>
    </row>
    <row r="16" spans="1:11" ht="8.1" customHeight="1" x14ac:dyDescent="0.3">
      <c r="D16" s="17"/>
      <c r="H16" s="17"/>
      <c r="I16" s="17"/>
      <c r="J16" s="17"/>
      <c r="K16" s="17"/>
    </row>
    <row r="17" spans="1:11" ht="15" customHeight="1" x14ac:dyDescent="0.3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3">
      <c r="A18" s="2" t="s">
        <v>16</v>
      </c>
      <c r="B18" s="60">
        <v>29102024</v>
      </c>
      <c r="C18" s="60"/>
      <c r="E18" s="2" t="s">
        <v>28</v>
      </c>
      <c r="F18" s="58">
        <v>31102024</v>
      </c>
      <c r="G18" s="59"/>
      <c r="I18" s="2" t="s">
        <v>0</v>
      </c>
      <c r="J18" s="52"/>
      <c r="K18" s="52"/>
    </row>
    <row r="19" spans="1:11" ht="15" customHeight="1" x14ac:dyDescent="0.3">
      <c r="A19" s="2" t="s">
        <v>41</v>
      </c>
      <c r="B19" s="34">
        <v>2400</v>
      </c>
      <c r="C19" s="35">
        <v>100</v>
      </c>
      <c r="E19" s="2" t="s">
        <v>41</v>
      </c>
      <c r="F19" s="32">
        <v>1100</v>
      </c>
      <c r="G19" s="33">
        <v>100</v>
      </c>
      <c r="I19" s="2" t="s">
        <v>30</v>
      </c>
      <c r="J19" s="53"/>
      <c r="K19" s="53"/>
    </row>
    <row r="20" spans="1:11" ht="15" customHeight="1" x14ac:dyDescent="0.3">
      <c r="A20" s="2" t="s">
        <v>22</v>
      </c>
      <c r="B20" s="72">
        <v>10</v>
      </c>
      <c r="C20" s="72"/>
      <c r="D20" s="3"/>
      <c r="E20" s="2" t="s">
        <v>21</v>
      </c>
      <c r="F20" s="75">
        <v>829</v>
      </c>
      <c r="G20" s="75"/>
      <c r="H20" s="3"/>
      <c r="I20" s="2" t="s">
        <v>41</v>
      </c>
      <c r="J20" s="14"/>
      <c r="K20" s="19"/>
    </row>
    <row r="21" spans="1:11" ht="15" customHeight="1" x14ac:dyDescent="0.3">
      <c r="A21" s="2" t="s">
        <v>135</v>
      </c>
      <c r="B21" s="72">
        <v>261816</v>
      </c>
      <c r="C21" s="72"/>
      <c r="D21" s="3"/>
      <c r="E21" s="2" t="s">
        <v>134</v>
      </c>
      <c r="F21" s="75">
        <v>262635</v>
      </c>
      <c r="G21" s="75"/>
      <c r="H21" s="3"/>
      <c r="I21" s="2" t="s">
        <v>31</v>
      </c>
      <c r="J21" s="63"/>
      <c r="K21" s="63"/>
    </row>
    <row r="22" spans="1:11" ht="15" customHeight="1" x14ac:dyDescent="0.3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3">
      <c r="A23" s="2" t="s">
        <v>23</v>
      </c>
      <c r="B23" s="74">
        <v>1107</v>
      </c>
      <c r="C23" s="74"/>
      <c r="D23" s="3"/>
      <c r="E23" s="2" t="s">
        <v>23</v>
      </c>
      <c r="F23" s="77">
        <v>1107</v>
      </c>
      <c r="G23" s="77"/>
      <c r="H23" s="3"/>
      <c r="I23" s="2" t="s">
        <v>33</v>
      </c>
      <c r="J23" s="53"/>
      <c r="K23" s="53"/>
    </row>
    <row r="24" spans="1:11" ht="15" customHeight="1" x14ac:dyDescent="0.3">
      <c r="A24" s="2" t="s">
        <v>24</v>
      </c>
      <c r="B24" s="74">
        <v>0</v>
      </c>
      <c r="C24" s="74"/>
      <c r="D24" s="3"/>
      <c r="E24" s="2" t="s">
        <v>24</v>
      </c>
      <c r="F24" s="77">
        <v>0</v>
      </c>
      <c r="G24" s="77"/>
      <c r="H24" s="3"/>
      <c r="I24" s="2" t="s">
        <v>41</v>
      </c>
      <c r="J24" s="14"/>
      <c r="K24" s="19"/>
    </row>
    <row r="25" spans="1:11" ht="15" customHeight="1" x14ac:dyDescent="0.3">
      <c r="A25" s="2" t="s">
        <v>17</v>
      </c>
      <c r="B25" s="74">
        <v>588.9</v>
      </c>
      <c r="C25" s="74"/>
      <c r="D25" s="3"/>
      <c r="E25" s="2" t="s">
        <v>17</v>
      </c>
      <c r="F25" s="77">
        <v>584.30999999999995</v>
      </c>
      <c r="G25" s="77"/>
      <c r="H25" s="3"/>
      <c r="I25" s="2" t="s">
        <v>32</v>
      </c>
      <c r="J25" s="63"/>
      <c r="K25" s="63"/>
    </row>
    <row r="26" spans="1:11" ht="15" customHeight="1" x14ac:dyDescent="0.3">
      <c r="A26" s="2" t="s">
        <v>25</v>
      </c>
      <c r="B26" s="73">
        <v>3233</v>
      </c>
      <c r="C26" s="73"/>
      <c r="D26" s="3"/>
      <c r="E26" s="2" t="s">
        <v>25</v>
      </c>
      <c r="F26" s="76">
        <v>2935</v>
      </c>
      <c r="G26" s="76"/>
      <c r="H26" s="3"/>
      <c r="I26" s="20"/>
      <c r="J26" s="20"/>
      <c r="K26" s="20"/>
    </row>
    <row r="27" spans="1:11" ht="8.1" customHeight="1" x14ac:dyDescent="0.3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3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3">
      <c r="A29" s="18" t="s">
        <v>42</v>
      </c>
      <c r="B29" s="66">
        <f>IF(F20="","",F20-B20)</f>
        <v>819</v>
      </c>
      <c r="C29" s="66"/>
      <c r="E29" s="18" t="s">
        <v>146</v>
      </c>
      <c r="F29" s="67">
        <f>IF(B29="","",DATA!V21)</f>
        <v>59.000000000058208</v>
      </c>
      <c r="G29" s="67"/>
      <c r="H29" s="29"/>
      <c r="I29" s="18" t="s">
        <v>43</v>
      </c>
      <c r="J29" s="68">
        <f>IFERROR(ROUND(B29/F29,1),"")</f>
        <v>13.9</v>
      </c>
      <c r="K29" s="68"/>
    </row>
    <row r="30" spans="1:11" s="22" customFormat="1" ht="15" customHeight="1" x14ac:dyDescent="0.3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4.5900000000000318</v>
      </c>
      <c r="G30" s="64"/>
      <c r="I30" s="28" t="s">
        <v>142</v>
      </c>
      <c r="J30" s="65">
        <f>IF(DATA!AD20&lt;&gt;"",DATA!AD20,DATA!AD21)</f>
        <v>298</v>
      </c>
      <c r="K30" s="65"/>
    </row>
    <row r="31" spans="1:11" s="22" customFormat="1" ht="12.9" customHeight="1" x14ac:dyDescent="0.3"/>
    <row r="32" spans="1:11" ht="13.2" x14ac:dyDescent="0.3"/>
    <row r="33" ht="13.2" x14ac:dyDescent="0.3"/>
    <row r="34" ht="13.2" x14ac:dyDescent="0.3"/>
    <row r="35" ht="13.2" x14ac:dyDescent="0.3"/>
    <row r="36" ht="13.2" x14ac:dyDescent="0.3"/>
    <row r="37" ht="13.2" x14ac:dyDescent="0.3"/>
    <row r="38" ht="13.2" x14ac:dyDescent="0.3"/>
    <row r="39" ht="13.2" x14ac:dyDescent="0.3"/>
    <row r="40" ht="13.2" x14ac:dyDescent="0.3"/>
    <row r="41" ht="13.2" x14ac:dyDescent="0.3"/>
    <row r="42" ht="13.2" x14ac:dyDescent="0.3"/>
    <row r="43" ht="13.2" x14ac:dyDescent="0.3"/>
    <row r="44" ht="13.2" x14ac:dyDescent="0.3"/>
    <row r="45" ht="13.2" x14ac:dyDescent="0.3"/>
    <row r="46" ht="13.2" x14ac:dyDescent="0.3"/>
    <row r="47" ht="13.2" x14ac:dyDescent="0.3"/>
    <row r="48" ht="13.2" x14ac:dyDescent="0.3"/>
    <row r="49" ht="13.2" x14ac:dyDescent="0.3"/>
    <row r="50" ht="13.2" x14ac:dyDescent="0.3"/>
    <row r="51" ht="13.2" x14ac:dyDescent="0.3"/>
    <row r="52" ht="13.2" x14ac:dyDescent="0.3"/>
    <row r="53" ht="13.2" x14ac:dyDescent="0.3"/>
    <row r="54" ht="13.2" x14ac:dyDescent="0.3"/>
    <row r="55" ht="13.2" x14ac:dyDescent="0.3"/>
    <row r="56" ht="13.2" x14ac:dyDescent="0.3"/>
    <row r="57" ht="13.2" x14ac:dyDescent="0.3"/>
    <row r="58" ht="13.2" x14ac:dyDescent="0.3"/>
    <row r="59" ht="13.2" x14ac:dyDescent="0.3"/>
    <row r="60" ht="13.2" x14ac:dyDescent="0.3"/>
    <row r="61" ht="13.2" x14ac:dyDescent="0.3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4140625" defaultRowHeight="13.8" x14ac:dyDescent="0.3"/>
  <cols>
    <col min="1" max="1" width="4.44140625" style="10" bestFit="1" customWidth="1"/>
    <col min="2" max="2" width="24.6640625" style="10" customWidth="1"/>
    <col min="3" max="3" width="13.33203125" style="10" customWidth="1"/>
    <col min="4" max="5" width="11.44140625" style="10"/>
    <col min="6" max="6" width="19.88671875" style="10" customWidth="1"/>
    <col min="7" max="8" width="2.44140625" style="10" customWidth="1"/>
    <col min="9" max="9" width="11.44140625" style="10"/>
    <col min="10" max="11" width="3.33203125" style="10" customWidth="1"/>
    <col min="12" max="12" width="4.109375" style="10" customWidth="1"/>
    <col min="13" max="14" width="3.33203125" style="10" customWidth="1"/>
    <col min="15" max="15" width="3.5546875" style="10" customWidth="1"/>
    <col min="16" max="16" width="3.44140625" style="10" customWidth="1"/>
    <col min="17" max="17" width="6" style="10" customWidth="1"/>
    <col min="18" max="18" width="5" style="9" customWidth="1"/>
    <col min="19" max="19" width="5" style="10" customWidth="1"/>
    <col min="20" max="20" width="13.88671875" style="10" customWidth="1"/>
    <col min="21" max="21" width="17.33203125" style="10" customWidth="1"/>
    <col min="22" max="22" width="8" style="10" customWidth="1"/>
    <col min="23" max="16384" width="11.44140625" style="10"/>
  </cols>
  <sheetData>
    <row r="1" spans="1:30" x14ac:dyDescent="0.3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3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3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3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3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3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3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3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3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3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3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3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3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3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3">
      <c r="F15" s="10" t="s">
        <v>82</v>
      </c>
    </row>
    <row r="17" spans="2:30" x14ac:dyDescent="0.3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3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3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3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29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24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</v>
      </c>
      <c r="S20" s="8">
        <f t="shared" ref="S20:S23" si="5">IFERROR(TIME(ABS(O20),ABS(P20),0),"")</f>
        <v>4.1666666666666664E-2</v>
      </c>
      <c r="T20" s="9">
        <f>IFERROR(DATE(L20,K20,J20)+R20,"")</f>
        <v>45594</v>
      </c>
      <c r="U20" s="31">
        <f t="shared" ref="U20:U23" si="6">IFERROR(T20-Q20,"")</f>
        <v>45593.958333333336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588.9</v>
      </c>
      <c r="AA20" s="27">
        <f>IFERROR(ARRIVAL!B26,"")</f>
        <v>3233</v>
      </c>
      <c r="AB20" s="27"/>
      <c r="AC20" s="27"/>
      <c r="AD20" s="27"/>
    </row>
    <row r="21" spans="2:30" x14ac:dyDescent="0.3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31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0.45833333333333331</v>
      </c>
      <c r="S21" s="8">
        <f t="shared" si="5"/>
        <v>4.1666666666666664E-2</v>
      </c>
      <c r="T21" s="9">
        <f>IFERROR(DATE(L21,K21,J21)+R21,"")</f>
        <v>45596.458333333336</v>
      </c>
      <c r="U21" s="31">
        <f t="shared" si="6"/>
        <v>45596.416666666672</v>
      </c>
      <c r="V21" s="11">
        <f>IFERROR(((24*(U21-U20))),"")</f>
        <v>59.000000000058208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584.30999999999995</v>
      </c>
      <c r="AA21" s="27">
        <f>IFERROR(ARRIVAL!F26,"")</f>
        <v>2935</v>
      </c>
      <c r="AB21" s="27">
        <f>IF($U$21&lt;&gt;"",(X20+Y20)-(X21+Y21),"")</f>
        <v>0</v>
      </c>
      <c r="AC21" s="27">
        <f>IF($U$21&lt;&gt;"",Z20-Z21,"")</f>
        <v>4.5900000000000318</v>
      </c>
      <c r="AD21" s="27">
        <f>IF($U$21&lt;&gt;"",AA20-AA21,"")</f>
        <v>298</v>
      </c>
    </row>
    <row r="22" spans="2:30" x14ac:dyDescent="0.3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3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3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3">
      <c r="B25" s="10" t="s">
        <v>119</v>
      </c>
      <c r="C25" s="10" t="s">
        <v>126</v>
      </c>
      <c r="F25" s="10" t="s">
        <v>100</v>
      </c>
    </row>
    <row r="26" spans="2:30" x14ac:dyDescent="0.3">
      <c r="B26" s="10" t="s">
        <v>122</v>
      </c>
      <c r="C26" s="10" t="s">
        <v>124</v>
      </c>
      <c r="F26" s="10" t="s">
        <v>101</v>
      </c>
    </row>
    <row r="27" spans="2:30" x14ac:dyDescent="0.3">
      <c r="B27" s="10" t="s">
        <v>114</v>
      </c>
      <c r="C27" s="10" t="s">
        <v>123</v>
      </c>
      <c r="F27" s="10" t="s">
        <v>103</v>
      </c>
    </row>
    <row r="28" spans="2:30" x14ac:dyDescent="0.3">
      <c r="B28" s="10" t="s">
        <v>116</v>
      </c>
      <c r="C28" s="10" t="s">
        <v>131</v>
      </c>
      <c r="F28" s="10" t="s">
        <v>104</v>
      </c>
    </row>
    <row r="29" spans="2:30" x14ac:dyDescent="0.3">
      <c r="B29" s="10" t="s">
        <v>113</v>
      </c>
      <c r="F29" s="10" t="s">
        <v>99</v>
      </c>
    </row>
    <row r="30" spans="2:30" x14ac:dyDescent="0.3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3">
      <c r="F31" s="10" t="s">
        <v>98</v>
      </c>
    </row>
    <row r="34" spans="6:6" x14ac:dyDescent="0.3">
      <c r="F34" s="10" t="s">
        <v>81</v>
      </c>
    </row>
    <row r="35" spans="6:6" x14ac:dyDescent="0.3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Choff</cp:lastModifiedBy>
  <cp:lastPrinted>2023-12-14T20:29:20Z</cp:lastPrinted>
  <dcterms:created xsi:type="dcterms:W3CDTF">2023-11-13T10:14:48Z</dcterms:created>
  <dcterms:modified xsi:type="dcterms:W3CDTF">2024-11-12T14:00:59Z</dcterms:modified>
</cp:coreProperties>
</file>