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3-ARRIVAL REPORTS 2025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5345" windowHeight="457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S22" i="3" s="1"/>
  <c r="Q22" i="3" s="1"/>
  <c r="N22" i="3"/>
  <c r="R22" i="3" s="1"/>
  <c r="T22" i="3" s="1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S23" i="3"/>
  <c r="Q23" i="3" s="1"/>
  <c r="R23" i="3"/>
  <c r="T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/>
  <c r="S5" i="3"/>
  <c r="Q5" i="3"/>
  <c r="R5" i="3"/>
  <c r="T5" i="3" s="1"/>
  <c r="U5" i="3" s="1"/>
  <c r="S6" i="3"/>
  <c r="Q6" i="3" s="1"/>
  <c r="R6" i="3"/>
  <c r="T6" i="3" s="1"/>
  <c r="U6" i="3" s="1"/>
  <c r="V6" i="3" s="1"/>
  <c r="R7" i="3"/>
  <c r="T7" i="3" s="1"/>
  <c r="U7" i="3" s="1"/>
  <c r="S3" i="3"/>
  <c r="Q3" i="3" s="1"/>
  <c r="R3" i="3"/>
  <c r="S2" i="3"/>
  <c r="Q2" i="3"/>
  <c r="S4" i="3"/>
  <c r="Q4" i="3" s="1"/>
  <c r="R2" i="3"/>
  <c r="T2" i="3"/>
  <c r="U2" i="3" s="1"/>
  <c r="V3" i="3" s="1"/>
  <c r="R4" i="3"/>
  <c r="T4" i="3" s="1"/>
  <c r="U4" i="3" s="1"/>
  <c r="T3" i="3"/>
  <c r="U3" i="3" s="1"/>
  <c r="R21" i="3" l="1"/>
  <c r="T21" i="3" s="1"/>
  <c r="U21" i="3" s="1"/>
  <c r="S20" i="3"/>
  <c r="Q20" i="3" s="1"/>
  <c r="R20" i="3"/>
  <c r="T20" i="3" s="1"/>
  <c r="AD4" i="3"/>
  <c r="J30" i="3" s="1"/>
  <c r="AB4" i="3"/>
  <c r="V4" i="3"/>
  <c r="AC4" i="3"/>
  <c r="U23" i="3"/>
  <c r="U22" i="3"/>
  <c r="AC3" i="3"/>
  <c r="AB3" i="3"/>
  <c r="AD3" i="3"/>
  <c r="U20" i="3" l="1"/>
  <c r="V21" i="3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<sst xmlns="http://schemas.openxmlformats.org/spreadsheetml/2006/main" count="211" uniqueCount="156">
  <si>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</si>
  <si>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</si>
  <si>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</si>
  <si>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</si>
  <si>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</si>
  <si>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</si>
  <si>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</si>
  <si>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</si>
  <si>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</si>
  <si>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</si>
  <si>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</si>
  <si>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</si>
  <si>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</si>
  <si>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</si>
  <si>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</si>
  <si>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</si>
  <si>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</si>
  <si>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</si>
  <si>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</si>
  <si>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</si>
  <si>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</si>
  <si>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</si>
  <si>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</si>
  <si>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</si>
  <si>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</si>
  <si>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</si>
  <si>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</si>
  <si>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</si>
  <si>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</si>
  <si>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</si>
  <si>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</si>
  <si>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</si>
  <si>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</si>
  <si>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</si>
  <si>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</si>
  <si>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</si>
  <si>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</si>
  <si>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</si>
  <si>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</si>
  <si>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</si>
  <si>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</si>
  <si>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</si>
  <si>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</si>
  <si>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</si>
  <si>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</si>
  <si>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</si>
  <si>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</si>
  <si>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</si>
  <si>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</si>
  <si>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</si>
  <si>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</si>
  <si>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</si>
  <si>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</si>
  <si>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</si>
  <si>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</si>
  <si>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</si>
  <si>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</si>
  <si>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</si>
  <si>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</si>
  <si>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</si>
  <si>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</si>
  <si>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</si>
  <si>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</si>
  <si>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</si>
  <si>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</si>
  <si>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</si>
  <si>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</si>
  <si>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</si>
  <si>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</si>
  <si>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</si>
  <si>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</si>
  <si>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</si>
  <si>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</si>
  <si>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</si>
  <si>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</si>
  <si>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</si>
  <si>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</si>
  <si>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</si>
  <si>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</si>
  <si>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</si>
  <si>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</si>
  <si>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</si>
  <si>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</si>
  <si>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</si>
  <si>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</si>
  <si>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</si>
  <si>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</si>
  <si>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</si>
  <si>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</si>
  <si>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</si>
  <si>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</si>
  <si>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</si>
  <si>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</si>
  <si>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</si>
  <si>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</si>
  <si>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</si>
  <si>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</si>
  <si>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</si>
  <si>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</si>
  <si>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</si>
  <si>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</si>
  <si>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</si>
  <si>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</si>
  <si>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</si>
  <si>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</si>
  <si>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</si>
  <si>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</si>
  <si>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</si>
  <si>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</si>
  <si>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</si>
  <si>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</si>
  <si>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</si>
  <si>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</si>
  <si>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</si>
  <si>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</si>
  <si>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</si>
  <si>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</si>
  <si>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</si>
  <si>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</si>
  <si>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</si>
  <si>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</si>
  <si>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</si>
  <si>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</si>
  <si>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</si>
  <si>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</si>
  <si>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</si>
  <si>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</si>
  <si>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</si>
  <si>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</si>
  <si>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</si>
  <si>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</si>
  <si>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</si>
  <si>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</si>
  <si>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</si>
  <si>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</si>
  <si>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</si>
  <si>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</si>
  <si>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</si>
  <si>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</si>
  <si>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</si>
  <si>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</si>
  <si>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</si>
  <si>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</si>
  <si>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</si>
  <si>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</si>
  <si>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</si>
  <si>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</si>
  <si>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</si>
  <si>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</si>
  <si>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</si>
  <si>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</si>
  <si>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</si>
  <si>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</si>
  <si>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DZAZW</t>
  </si>
  <si>
    <t>S/2</t>
  </si>
  <si>
    <t>02/25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</si>
</sst>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B6" sqref="B6:C6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154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155</v>
      </c>
      <c r="C6" s="39"/>
      <c r="E6" s="2" t="s">
        <v>29</v>
      </c>
      <c r="F6" s="45">
        <v>1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153</v>
      </c>
      <c r="C7" s="39"/>
      <c r="E7" s="2" t="s">
        <v>36</v>
      </c>
      <c r="F7" s="47"/>
      <c r="G7" s="48"/>
      <c r="I7" s="2" t="s">
        <v>17</v>
      </c>
      <c r="J7" s="62">
        <v>383.97</v>
      </c>
      <c r="K7" s="62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2531.9</v>
      </c>
      <c r="K8" s="61"/>
    </row>
    <row r="9" spans="1:11" ht="15" customHeight="1" x14ac:dyDescent="0.25">
      <c r="A9" s="2" t="s">
        <v>66</v>
      </c>
      <c r="B9" s="54">
        <v>8012025</v>
      </c>
      <c r="C9" s="54"/>
      <c r="E9" s="2" t="s">
        <v>70</v>
      </c>
      <c r="F9" s="40"/>
      <c r="G9" s="40"/>
      <c r="I9" s="2" t="s">
        <v>39</v>
      </c>
      <c r="J9" s="55">
        <v>64277</v>
      </c>
      <c r="K9" s="55"/>
    </row>
    <row r="10" spans="1:11" ht="15" customHeight="1" x14ac:dyDescent="0.25">
      <c r="A10" s="2" t="s">
        <v>67</v>
      </c>
      <c r="B10" s="12">
        <v>1055</v>
      </c>
      <c r="C10" s="13">
        <v>100</v>
      </c>
      <c r="E10" s="2" t="s">
        <v>72</v>
      </c>
      <c r="F10" s="40">
        <v>6078606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1617</v>
      </c>
      <c r="C11" s="41"/>
      <c r="E11" s="2" t="s">
        <v>73</v>
      </c>
      <c r="F11" s="40">
        <v>9791668</v>
      </c>
      <c r="G11" s="40"/>
      <c r="I11" s="2" t="s">
        <v>37</v>
      </c>
      <c r="J11" s="40">
        <v>123906119</v>
      </c>
      <c r="K11" s="40"/>
    </row>
    <row r="12" spans="1:11" ht="15" customHeight="1" x14ac:dyDescent="0.25">
      <c r="A12" s="2" t="s">
        <v>38</v>
      </c>
      <c r="B12" s="41">
        <v>277726.3</v>
      </c>
      <c r="C12" s="41"/>
      <c r="E12" s="2" t="s">
        <v>74</v>
      </c>
      <c r="F12" s="40">
        <v>9220414</v>
      </c>
      <c r="G12" s="40"/>
      <c r="I12" s="2" t="s">
        <v>35</v>
      </c>
      <c r="J12" s="40">
        <v>123713374</v>
      </c>
      <c r="K12" s="40"/>
    </row>
    <row r="13" spans="1:11" ht="15" customHeight="1" x14ac:dyDescent="0.25">
      <c r="E13" s="2" t="s">
        <v>75</v>
      </c>
      <c r="F13" s="40">
        <v>6610579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10372929</v>
      </c>
      <c r="G14" s="40"/>
      <c r="I14" s="2" t="s">
        <v>91</v>
      </c>
      <c r="J14" s="41">
        <v>10</v>
      </c>
      <c r="K14" s="41"/>
    </row>
    <row r="15" spans="1:11" ht="15" customHeight="1" x14ac:dyDescent="0.25">
      <c r="E15" s="2" t="s">
        <v>76</v>
      </c>
      <c r="F15" s="40">
        <v>1266823</v>
      </c>
      <c r="G15" s="40"/>
      <c r="I15" s="2" t="s">
        <v>92</v>
      </c>
      <c r="J15" s="56">
        <v>6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2012025</v>
      </c>
      <c r="C18" s="60"/>
      <c r="E18" s="2" t="s">
        <v>28</v>
      </c>
      <c r="F18" s="58">
        <v>7012025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1830</v>
      </c>
      <c r="C19" s="35">
        <v>300</v>
      </c>
      <c r="E19" s="2" t="s">
        <v>41</v>
      </c>
      <c r="F19" s="32">
        <v>400</v>
      </c>
      <c r="G19" s="33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22</v>
      </c>
      <c r="C20" s="72"/>
      <c r="D20" s="3"/>
      <c r="E20" s="2" t="s">
        <v>21</v>
      </c>
      <c r="F20" s="77">
        <v>1531</v>
      </c>
      <c r="G20" s="77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276153</v>
      </c>
      <c r="C21" s="72"/>
      <c r="D21" s="3"/>
      <c r="E21" s="2" t="s">
        <v>134</v>
      </c>
      <c r="F21" s="77">
        <v>277652</v>
      </c>
      <c r="G21" s="77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5">
        <v>1107</v>
      </c>
      <c r="C23" s="76"/>
      <c r="D23" s="3"/>
      <c r="E23" s="2" t="s">
        <v>23</v>
      </c>
      <c r="F23" s="78">
        <v>1107</v>
      </c>
      <c r="G23" s="78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5">
        <v>0</v>
      </c>
      <c r="C24" s="76"/>
      <c r="D24" s="3"/>
      <c r="E24" s="2" t="s">
        <v>24</v>
      </c>
      <c r="F24" s="78">
        <v>0</v>
      </c>
      <c r="G24" s="7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5">
        <v>401.75</v>
      </c>
      <c r="C25" s="76"/>
      <c r="D25" s="3"/>
      <c r="E25" s="2" t="s">
        <v>17</v>
      </c>
      <c r="F25" s="78">
        <v>393.16</v>
      </c>
      <c r="G25" s="78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3344.4</v>
      </c>
      <c r="C26" s="74"/>
      <c r="D26" s="3"/>
      <c r="E26" s="2" t="s">
        <v>25</v>
      </c>
      <c r="F26" s="78">
        <v>2851.4</v>
      </c>
      <c r="G26" s="78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1509</v>
      </c>
      <c r="C29" s="66"/>
      <c r="E29" s="18" t="s">
        <v>146</v>
      </c>
      <c r="F29" s="67">
        <f>IF(B29="","",DATA!V21)</f>
        <v>107.49999999994179</v>
      </c>
      <c r="G29" s="67"/>
      <c r="H29" s="29"/>
      <c r="I29" s="18" t="s">
        <v>43</v>
      </c>
      <c r="J29" s="68">
        <f>IFERROR(ROUND(B29/F29,1),"")</f>
        <v>14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8.589999999999975</v>
      </c>
      <c r="G30" s="64"/>
      <c r="I30" s="28" t="s">
        <v>142</v>
      </c>
      <c r="J30" s="65">
        <f>IF(DATA!AD20&lt;&gt;"",DATA!AD20,DATA!AD21)</f>
        <v>493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</v>
      </c>
      <c r="K20" s="6" t="str">
        <f>IF(LEN(ARRIVAL!B18)=8,IFERROR(MID(ARRIVAL!B18,3,2),""),IFERROR(MID(ARRIVAL!B18,2,2),""))</f>
        <v>01</v>
      </c>
      <c r="L20" s="7" t="str">
        <f>IFERROR(RIGHT(ARRIVAL!B18,4),"")</f>
        <v>2025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0.77083333333333337</v>
      </c>
      <c r="S20" s="8">
        <f t="shared" ref="S20:S23" si="5">IFERROR(TIME(ABS(O20),ABS(P20),0),"")</f>
        <v>0.125</v>
      </c>
      <c r="T20" s="9">
        <f>IFERROR(DATE(L20,K20,J20)+R20,"")</f>
        <v>45659.770833333336</v>
      </c>
      <c r="U20" s="31">
        <f t="shared" ref="U20:U23" si="6">IFERROR(T20-Q20,"")</f>
        <v>45659.645833333336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401.75</v>
      </c>
      <c r="AA20" s="27">
        <f>IFERROR(ARRIVAL!B26,"")</f>
        <v>3344.4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7</v>
      </c>
      <c r="K21" s="6" t="str">
        <f>IF(LEN(ARRIVAL!F18)=8,IFERROR(MID(ARRIVAL!F18,3,2),""),IFERROR(MID(ARRIVAL!F18,2,2),""))</f>
        <v>01</v>
      </c>
      <c r="L21" s="7" t="str">
        <f>IFERROR(RIGHT(ARRIVAL!F18,4),"")</f>
        <v>2025</v>
      </c>
      <c r="M21" s="6" t="str">
        <f>IFERROR(IF(LEN(ARRIVAL!F19)=3,LEFT(ARRIVAL!F19,1),IF(LEN(ARRIVAL!F19)=4,LEFT(ARRIVAL!F19,2),"")),"")</f>
        <v>4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0.16666666666666666</v>
      </c>
      <c r="S21" s="8">
        <f t="shared" si="5"/>
        <v>4.1666666666666664E-2</v>
      </c>
      <c r="T21" s="9">
        <f>IFERROR(DATE(L21,K21,J21)+R21,"")</f>
        <v>45664.166666666664</v>
      </c>
      <c r="U21" s="31">
        <f t="shared" si="6"/>
        <v>45664.125</v>
      </c>
      <c r="V21" s="11">
        <f>IFERROR(((24*(U21-U20))),"")</f>
        <v>107.49999999994179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393.16</v>
      </c>
      <c r="AA21" s="27">
        <f>IFERROR(ARRIVAL!F26,"")</f>
        <v>2851.4</v>
      </c>
      <c r="AB21" s="27">
        <f>IF($U$21&lt;&gt;"",(X20+Y20)-(X21+Y21),"")</f>
        <v>0</v>
      </c>
      <c r="AC21" s="27">
        <f>IF($U$21&lt;&gt;"",Z20-Z21,"")</f>
        <v>8.589999999999975</v>
      </c>
      <c r="AD21" s="27">
        <f>IF($U$21&lt;&gt;"",AA20-AA21,"")</f>
        <v>493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2025-01-22T15:59:58Z</cp:lastPrinted>
  <dcterms:created xsi:type="dcterms:W3CDTF">2023-11-13T10:14:48Z</dcterms:created>
  <dcterms:modified xsi:type="dcterms:W3CDTF">2025-01-23T02:48:12Z</dcterms:modified>
</cp:coreProperties>
</file>