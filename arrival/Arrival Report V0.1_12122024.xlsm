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19200" windowHeight="10890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S22" i="3" s="1"/>
  <c r="Q22" i="3" s="1"/>
  <c r="N22" i="3"/>
  <c r="R22" i="3" s="1"/>
  <c r="T22" i="3" s="1"/>
  <c r="M22" i="3"/>
  <c r="L22" i="3"/>
  <c r="P21" i="3"/>
  <c r="O21" i="3"/>
  <c r="S21" i="3" s="1"/>
  <c r="Q21" i="3" s="1"/>
  <c r="N21" i="3"/>
  <c r="M21" i="3"/>
  <c r="L21" i="3"/>
  <c r="P20" i="3"/>
  <c r="O20" i="3"/>
  <c r="N20" i="3"/>
  <c r="M20" i="3"/>
  <c r="L20" i="3"/>
  <c r="S23" i="3"/>
  <c r="Q23" i="3" s="1"/>
  <c r="R23" i="3"/>
  <c r="T23" i="3"/>
  <c r="AA4" i="3"/>
  <c r="Z4" i="3"/>
  <c r="Y4" i="3"/>
  <c r="X4" i="3"/>
  <c r="AA3" i="3"/>
  <c r="Z3" i="3"/>
  <c r="Y3" i="3"/>
  <c r="X3" i="3"/>
  <c r="AA2" i="3"/>
  <c r="Z2" i="3"/>
  <c r="Y2" i="3"/>
  <c r="X2" i="3"/>
  <c r="B29" i="1"/>
  <c r="S7" i="3"/>
  <c r="Q7" i="3"/>
  <c r="S5" i="3"/>
  <c r="Q5" i="3"/>
  <c r="R5" i="3"/>
  <c r="T5" i="3" s="1"/>
  <c r="U5" i="3" s="1"/>
  <c r="S6" i="3"/>
  <c r="Q6" i="3" s="1"/>
  <c r="R6" i="3"/>
  <c r="T6" i="3" s="1"/>
  <c r="U6" i="3" s="1"/>
  <c r="V6" i="3" s="1"/>
  <c r="R7" i="3"/>
  <c r="T7" i="3" s="1"/>
  <c r="U7" i="3" s="1"/>
  <c r="S3" i="3"/>
  <c r="Q3" i="3" s="1"/>
  <c r="R3" i="3"/>
  <c r="S2" i="3"/>
  <c r="Q2" i="3"/>
  <c r="S4" i="3"/>
  <c r="Q4" i="3" s="1"/>
  <c r="R2" i="3"/>
  <c r="T2" i="3"/>
  <c r="U2" i="3" s="1"/>
  <c r="V3" i="3" s="1"/>
  <c r="R4" i="3"/>
  <c r="T4" i="3" s="1"/>
  <c r="U4" i="3" s="1"/>
  <c r="T3" i="3"/>
  <c r="U3" i="3" s="1"/>
  <c r="R21" i="3" l="1"/>
  <c r="T21" i="3" s="1"/>
  <c r="U21" i="3" s="1"/>
  <c r="S20" i="3"/>
  <c r="Q20" i="3" s="1"/>
  <c r="R20" i="3"/>
  <c r="T20" i="3" s="1"/>
  <c r="AD4" i="3"/>
  <c r="J30" i="3" s="1"/>
  <c r="AB4" i="3"/>
  <c r="V4" i="3"/>
  <c r="AC4" i="3"/>
  <c r="U23" i="3"/>
  <c r="U22" i="3"/>
  <c r="AC3" i="3"/>
  <c r="AB3" i="3"/>
  <c r="AD3" i="3"/>
  <c r="U20" i="3" l="1"/>
  <c r="V21" i="3"/>
  <c r="F29" i="1" s="1"/>
  <c r="J29" i="1" s="1"/>
  <c r="AB21" i="3"/>
  <c r="B30" i="1" s="1"/>
  <c r="AC21" i="3"/>
  <c r="F30" i="1" s="1"/>
  <c r="AD21" i="3"/>
  <c r="J30" i="1" s="1"/>
  <c r="V2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<sst xmlns="http://schemas.openxmlformats.org/spreadsheetml/2006/main" count="211" uniqueCount="156">
  <si>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</si>
  <si>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</si>
  <si>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</si>
  <si>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</si>
  <si>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</si>
  <si>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</si>
  <si>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</si>
  <si>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</si>
  <si>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</si>
  <si>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</si>
  <si>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</si>
  <si>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</si>
  <si>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</si>
  <si>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</si>
  <si>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</si>
  <si>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</si>
  <si>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</si>
  <si>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</si>
  <si>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</si>
  <si>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</si>
  <si>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</si>
  <si>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</si>
  <si>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</si>
  <si>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</si>
  <si>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</si>
  <si>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</si>
  <si>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</si>
  <si>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</si>
  <si>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</si>
  <si>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</si>
  <si>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</si>
  <si>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</si>
  <si>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</si>
  <si>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</si>
  <si>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</si>
  <si>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</si>
  <si>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</si>
  <si>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</si>
  <si>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</si>
  <si>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</si>
  <si>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</si>
  <si>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</si>
  <si>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</si>
  <si>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</si>
  <si>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</si>
  <si>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</si>
  <si>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</si>
  <si>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</si>
  <si>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</si>
  <si>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</si>
  <si>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</si>
  <si>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</si>
  <si>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</si>
  <si>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</si>
  <si>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</si>
  <si>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</si>
  <si>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</si>
  <si>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</si>
  <si>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</si>
  <si>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</si>
  <si>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</si>
  <si>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</si>
  <si>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</si>
  <si>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</si>
  <si>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</si>
  <si>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</si>
  <si>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</si>
  <si>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</si>
  <si>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</si>
  <si>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</si>
  <si>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</si>
  <si>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</si>
  <si>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</si>
  <si>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</si>
  <si>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</si>
  <si>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</si>
  <si>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</si>
  <si>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</si>
  <si>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</si>
  <si>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</si>
  <si>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</si>
  <si>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</si>
  <si>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</si>
  <si>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</si>
  <si>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</si>
  <si>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</si>
  <si>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</si>
  <si>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</si>
  <si>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</si>
  <si>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</si>
  <si>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</si>
  <si>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</si>
  <si>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</si>
  <si>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</si>
  <si>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</si>
  <si>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</si>
  <si>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</si>
  <si>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</si>
  <si>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</si>
  <si>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</si>
  <si>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</si>
  <si>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</si>
  <si>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</si>
  <si>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</si>
  <si>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</si>
  <si>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</si>
  <si>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</si>
  <si>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</si>
  <si>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</si>
  <si>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</si>
  <si>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</si>
  <si>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</si>
  <si>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</si>
  <si>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</si>
  <si>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</si>
  <si>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</si>
  <si>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</si>
  <si>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</si>
  <si>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</si>
  <si>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</si>
  <si>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</si>
  <si>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</si>
  <si>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</si>
  <si>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</si>
  <si>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</si>
  <si>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</si>
  <si>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</si>
  <si>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</si>
  <si>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</si>
  <si>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</si>
  <si>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</si>
  <si>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</si>
  <si>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</si>
  <si>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</si>
  <si>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</si>
  <si>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</si>
  <si>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</si>
  <si>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</si>
  <si>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</si>
  <si>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</si>
  <si>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</si>
  <si>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</si>
  <si>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</si>
  <si>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</si>
  <si>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</si>
  <si>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</si>
  <si>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</si>
  <si>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</si>
  <si>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</si>
  <si>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</si>
  <si>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</si>
  <si>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</si>
  <si>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A.BEKAKCHA</t>
  </si>
  <si>
    <t>50/24</t>
  </si>
  <si>
    <t>DZAZW</t>
  </si>
  <si>
    <t>NE/3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</si>
</sst>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2" xfId="0" applyNumberFormat="1" applyFont="1" applyFill="1" applyBorder="1" applyAlignment="1" applyProtection="1">
      <alignment horizontal="center" vertical="center"/>
      <protection locked="0"/>
    </xf>
    <xf numFmtId="176" fontId="3" fillId="3" borderId="5" xfId="0" applyNumberFormat="1" applyFont="1" applyFill="1" applyBorder="1" applyAlignment="1" applyProtection="1">
      <alignment horizontal="center" vertical="center"/>
      <protection locked="0"/>
    </xf>
    <xf numFmtId="175" fontId="3" fillId="3" borderId="2" xfId="0" applyNumberFormat="1" applyFont="1" applyFill="1" applyBorder="1" applyAlignment="1" applyProtection="1">
      <alignment horizontal="center" vertical="center"/>
      <protection locked="0"/>
    </xf>
    <xf numFmtId="175" fontId="3" fillId="3" borderId="5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A13" zoomScale="130" zoomScaleNormal="130" zoomScaleSheetLayoutView="130" workbookViewId="0">
      <selection activeCell="F21" sqref="F21:G21"/>
    </sheetView>
  </sheetViews>
  <sheetFormatPr baseColWidth="10" defaultColWidth="11.42578125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5" t="s">
        <v>34</v>
      </c>
      <c r="F2" s="38" t="s">
        <v>12</v>
      </c>
      <c r="G2" s="38"/>
      <c r="I2" s="16" t="s">
        <v>53</v>
      </c>
      <c r="J2" s="39" t="s">
        <v>152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109</v>
      </c>
      <c r="C5" s="39"/>
      <c r="E5" s="2" t="s">
        <v>40</v>
      </c>
      <c r="F5" s="43" t="s">
        <v>155</v>
      </c>
      <c r="G5" s="44"/>
      <c r="I5" s="2" t="s">
        <v>23</v>
      </c>
      <c r="J5" s="62">
        <v>1107</v>
      </c>
      <c r="K5" s="62"/>
    </row>
    <row r="6" spans="1:11" ht="15" customHeight="1" x14ac:dyDescent="0.25">
      <c r="A6" s="2" t="s">
        <v>78</v>
      </c>
      <c r="B6" s="39" t="s">
        <v>153</v>
      </c>
      <c r="C6" s="39"/>
      <c r="E6" s="2" t="s">
        <v>29</v>
      </c>
      <c r="F6" s="45">
        <v>3</v>
      </c>
      <c r="G6" s="46"/>
      <c r="I6" s="2" t="s">
        <v>24</v>
      </c>
      <c r="J6" s="62">
        <v>0</v>
      </c>
      <c r="K6" s="62"/>
    </row>
    <row r="7" spans="1:11" ht="15" customHeight="1" x14ac:dyDescent="0.25">
      <c r="A7" s="2" t="s">
        <v>77</v>
      </c>
      <c r="B7" s="39" t="s">
        <v>154</v>
      </c>
      <c r="C7" s="39"/>
      <c r="E7" s="2" t="s">
        <v>36</v>
      </c>
      <c r="F7" s="47"/>
      <c r="G7" s="48"/>
      <c r="I7" s="2" t="s">
        <v>17</v>
      </c>
      <c r="J7" s="62">
        <v>460.56</v>
      </c>
      <c r="K7" s="62"/>
    </row>
    <row r="8" spans="1:11" ht="15" customHeight="1" x14ac:dyDescent="0.25">
      <c r="A8" s="2" t="s">
        <v>87</v>
      </c>
      <c r="B8" s="39" t="s">
        <v>90</v>
      </c>
      <c r="C8" s="39"/>
      <c r="E8" s="42" t="s">
        <v>69</v>
      </c>
      <c r="F8" s="42"/>
      <c r="G8" s="42"/>
      <c r="I8" s="2" t="s">
        <v>25</v>
      </c>
      <c r="J8" s="61">
        <v>1869.8</v>
      </c>
      <c r="K8" s="61"/>
    </row>
    <row r="9" spans="1:11" ht="15" customHeight="1" x14ac:dyDescent="0.25">
      <c r="A9" s="2" t="s">
        <v>66</v>
      </c>
      <c r="B9" s="54">
        <v>12122024</v>
      </c>
      <c r="C9" s="54"/>
      <c r="E9" s="2" t="s">
        <v>70</v>
      </c>
      <c r="F9" s="40"/>
      <c r="G9" s="40"/>
      <c r="I9" s="2" t="s">
        <v>39</v>
      </c>
      <c r="J9" s="55">
        <v>69537</v>
      </c>
      <c r="K9" s="55"/>
    </row>
    <row r="10" spans="1:11" ht="15" customHeight="1" x14ac:dyDescent="0.25">
      <c r="A10" s="2" t="s">
        <v>67</v>
      </c>
      <c r="B10" s="12">
        <v>1845</v>
      </c>
      <c r="C10" s="13">
        <v>100</v>
      </c>
      <c r="E10" s="2" t="s">
        <v>72</v>
      </c>
      <c r="F10" s="40">
        <v>5831247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1608</v>
      </c>
      <c r="C11" s="41"/>
      <c r="E11" s="2" t="s">
        <v>73</v>
      </c>
      <c r="F11" s="40">
        <v>9328482</v>
      </c>
      <c r="G11" s="40"/>
      <c r="I11" s="2" t="s">
        <v>37</v>
      </c>
      <c r="J11" s="40">
        <v>122695763</v>
      </c>
      <c r="K11" s="40"/>
    </row>
    <row r="12" spans="1:11" ht="15" customHeight="1" x14ac:dyDescent="0.25">
      <c r="A12" s="2" t="s">
        <v>38</v>
      </c>
      <c r="B12" s="41">
        <v>272297</v>
      </c>
      <c r="C12" s="41"/>
      <c r="E12" s="2" t="s">
        <v>74</v>
      </c>
      <c r="F12" s="40">
        <v>8849584</v>
      </c>
      <c r="G12" s="40"/>
      <c r="I12" s="2" t="s">
        <v>35</v>
      </c>
      <c r="J12" s="40">
        <v>122503880</v>
      </c>
      <c r="K12" s="40"/>
    </row>
    <row r="13" spans="1:11" ht="15" customHeight="1" x14ac:dyDescent="0.25">
      <c r="E13" s="2" t="s">
        <v>75</v>
      </c>
      <c r="F13" s="40">
        <v>6215837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9896807</v>
      </c>
      <c r="G14" s="40"/>
      <c r="I14" s="2" t="s">
        <v>91</v>
      </c>
      <c r="J14" s="41"/>
      <c r="K14" s="41"/>
    </row>
    <row r="15" spans="1:11" ht="15" customHeight="1" x14ac:dyDescent="0.25">
      <c r="E15" s="2" t="s">
        <v>76</v>
      </c>
      <c r="F15" s="40">
        <v>1266498</v>
      </c>
      <c r="G15" s="40"/>
      <c r="I15" s="2" t="s">
        <v>92</v>
      </c>
      <c r="J15" s="56"/>
      <c r="K15" s="57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60">
        <v>8122024</v>
      </c>
      <c r="C18" s="60"/>
      <c r="E18" s="2" t="s">
        <v>28</v>
      </c>
      <c r="F18" s="58">
        <v>12122024</v>
      </c>
      <c r="G18" s="59"/>
      <c r="I18" s="2" t="s">
        <v>0</v>
      </c>
      <c r="J18" s="52"/>
      <c r="K18" s="52"/>
    </row>
    <row r="19" spans="1:11" ht="15" customHeight="1" x14ac:dyDescent="0.25">
      <c r="A19" s="2" t="s">
        <v>41</v>
      </c>
      <c r="B19" s="34">
        <v>130</v>
      </c>
      <c r="C19" s="35">
        <v>300</v>
      </c>
      <c r="E19" s="2" t="s">
        <v>41</v>
      </c>
      <c r="F19" s="32">
        <v>1000</v>
      </c>
      <c r="G19" s="33">
        <v>100</v>
      </c>
      <c r="I19" s="2" t="s">
        <v>30</v>
      </c>
      <c r="J19" s="53"/>
      <c r="K19" s="53"/>
    </row>
    <row r="20" spans="1:11" ht="15" customHeight="1" x14ac:dyDescent="0.25">
      <c r="A20" s="2" t="s">
        <v>22</v>
      </c>
      <c r="B20" s="72">
        <v>13</v>
      </c>
      <c r="C20" s="72"/>
      <c r="D20" s="3"/>
      <c r="E20" s="2" t="s">
        <v>21</v>
      </c>
      <c r="F20" s="77">
        <v>1596</v>
      </c>
      <c r="G20" s="77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72">
        <v>270720</v>
      </c>
      <c r="C21" s="72"/>
      <c r="D21" s="3"/>
      <c r="E21" s="2" t="s">
        <v>134</v>
      </c>
      <c r="F21" s="77">
        <v>272286</v>
      </c>
      <c r="G21" s="77"/>
      <c r="H21" s="3"/>
      <c r="I21" s="2" t="s">
        <v>31</v>
      </c>
      <c r="J21" s="63"/>
      <c r="K21" s="63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75">
        <v>1107</v>
      </c>
      <c r="C23" s="76"/>
      <c r="D23" s="3"/>
      <c r="E23" s="2" t="s">
        <v>23</v>
      </c>
      <c r="F23" s="78">
        <v>1107</v>
      </c>
      <c r="G23" s="78"/>
      <c r="H23" s="3"/>
      <c r="I23" s="2" t="s">
        <v>33</v>
      </c>
      <c r="J23" s="53"/>
      <c r="K23" s="53"/>
    </row>
    <row r="24" spans="1:11" ht="15" customHeight="1" x14ac:dyDescent="0.25">
      <c r="A24" s="2" t="s">
        <v>24</v>
      </c>
      <c r="B24" s="75">
        <v>0</v>
      </c>
      <c r="C24" s="76"/>
      <c r="D24" s="3"/>
      <c r="E24" s="2" t="s">
        <v>24</v>
      </c>
      <c r="F24" s="78">
        <v>0</v>
      </c>
      <c r="G24" s="78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75">
        <v>468.56</v>
      </c>
      <c r="C25" s="76"/>
      <c r="D25" s="3"/>
      <c r="E25" s="2" t="s">
        <v>17</v>
      </c>
      <c r="F25" s="78">
        <v>463.24</v>
      </c>
      <c r="G25" s="78"/>
      <c r="H25" s="3"/>
      <c r="I25" s="2" t="s">
        <v>32</v>
      </c>
      <c r="J25" s="63"/>
      <c r="K25" s="63"/>
    </row>
    <row r="26" spans="1:11" ht="15" customHeight="1" x14ac:dyDescent="0.25">
      <c r="A26" s="2" t="s">
        <v>25</v>
      </c>
      <c r="B26" s="73">
        <v>2682</v>
      </c>
      <c r="C26" s="74"/>
      <c r="D26" s="3"/>
      <c r="E26" s="2" t="s">
        <v>25</v>
      </c>
      <c r="F26" s="78">
        <v>2161.6999999999998</v>
      </c>
      <c r="G26" s="78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69" t="s">
        <v>107</v>
      </c>
      <c r="B28" s="70"/>
      <c r="C28" s="70"/>
      <c r="D28" s="70"/>
      <c r="E28" s="70"/>
      <c r="F28" s="70"/>
      <c r="G28" s="70"/>
      <c r="H28" s="70"/>
      <c r="I28" s="70"/>
      <c r="J28" s="70"/>
      <c r="K28" s="71"/>
    </row>
    <row r="29" spans="1:11" ht="15" customHeight="1" x14ac:dyDescent="0.25">
      <c r="A29" s="18" t="s">
        <v>42</v>
      </c>
      <c r="B29" s="66">
        <f>IF(F20="","",F20-B20)</f>
        <v>1583</v>
      </c>
      <c r="C29" s="66"/>
      <c r="E29" s="18" t="s">
        <v>146</v>
      </c>
      <c r="F29" s="67">
        <f>IF(B29="","",DATA!V21)</f>
        <v>106.5</v>
      </c>
      <c r="G29" s="67"/>
      <c r="H29" s="29"/>
      <c r="I29" s="18" t="s">
        <v>43</v>
      </c>
      <c r="J29" s="68">
        <f>IFERROR(ROUND(B29/F29,1),"")</f>
        <v>14.9</v>
      </c>
      <c r="K29" s="68"/>
    </row>
    <row r="30" spans="1:11" s="22" customFormat="1" ht="15" customHeight="1" x14ac:dyDescent="0.25">
      <c r="A30" s="28" t="s">
        <v>140</v>
      </c>
      <c r="B30" s="64">
        <f>IF(DATA!AB20&lt;&gt;"",DATA!AB20,DATA!AB21)</f>
        <v>0</v>
      </c>
      <c r="C30" s="64"/>
      <c r="E30" s="28" t="s">
        <v>141</v>
      </c>
      <c r="F30" s="64">
        <f>IF(DATA!AC20&lt;&gt;"",DATA!AC20,DATA!AC21)</f>
        <v>5.3199999999999932</v>
      </c>
      <c r="G30" s="64"/>
      <c r="I30" s="28" t="s">
        <v>142</v>
      </c>
      <c r="J30" s="65">
        <f>IF(DATA!AD20&lt;&gt;"",DATA!AD20,DATA!AD21)</f>
        <v>520.30000000000018</v>
      </c>
      <c r="K30" s="65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F20:G20"/>
    <mergeCell ref="F21:G21"/>
    <mergeCell ref="F26:G26"/>
    <mergeCell ref="F25:G25"/>
    <mergeCell ref="F24:G24"/>
    <mergeCell ref="F23:G23"/>
    <mergeCell ref="B20:C20"/>
    <mergeCell ref="B21:C21"/>
    <mergeCell ref="B26:C26"/>
    <mergeCell ref="B25:C25"/>
    <mergeCell ref="B24:C24"/>
    <mergeCell ref="B23:C23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J8:K8"/>
    <mergeCell ref="I4:K4"/>
    <mergeCell ref="J5:K5"/>
    <mergeCell ref="J6:K6"/>
    <mergeCell ref="J7:K7"/>
    <mergeCell ref="A17:C17"/>
    <mergeCell ref="E17:G17"/>
    <mergeCell ref="F13:G13"/>
    <mergeCell ref="F18:G18"/>
    <mergeCell ref="B18:C18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8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ColWidth="11.42578125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9" t="s">
        <v>51</v>
      </c>
      <c r="P1" s="79"/>
      <c r="Q1" s="79"/>
      <c r="R1" s="21" t="s">
        <v>149</v>
      </c>
      <c r="S1" s="23" t="s">
        <v>151</v>
      </c>
      <c r="T1" s="4" t="s">
        <v>150</v>
      </c>
      <c r="U1" s="21" t="s">
        <v>52</v>
      </c>
      <c r="V1" s="79" t="s">
        <v>58</v>
      </c>
      <c r="W1" s="79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9"/>
      <c r="P17" s="79"/>
      <c r="Q17" s="23"/>
      <c r="R17" s="4"/>
      <c r="S17" s="23"/>
      <c r="T17" s="79"/>
      <c r="U17" s="79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9" t="s">
        <v>51</v>
      </c>
      <c r="P18" s="79"/>
      <c r="Q18" s="79"/>
      <c r="R18" s="23" t="s">
        <v>149</v>
      </c>
      <c r="S18" s="23" t="s">
        <v>151</v>
      </c>
      <c r="T18" s="4" t="s">
        <v>150</v>
      </c>
      <c r="U18" s="23" t="s">
        <v>52</v>
      </c>
      <c r="V18" s="79" t="s">
        <v>58</v>
      </c>
      <c r="W18" s="79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8</v>
      </c>
      <c r="K20" s="6" t="str">
        <f>IF(LEN(ARRIVAL!B18)=8,IFERROR(MID(ARRIVAL!B18,3,2),""),IFERROR(MID(ARRIVAL!B18,2,2),""))</f>
        <v>12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3</v>
      </c>
      <c r="P20" s="6" t="str">
        <f>IFERROR(RIGHT(ARRIVAL!C19,2),"")</f>
        <v>00</v>
      </c>
      <c r="Q20" s="30">
        <f>IFERROR(S20*SIGN(O20),"")</f>
        <v>0.125</v>
      </c>
      <c r="R20" s="8">
        <f>IFERROR(TIME(M20,N20,0),"")</f>
        <v>6.25E-2</v>
      </c>
      <c r="S20" s="8">
        <f t="shared" ref="S20:S23" si="5">IFERROR(TIME(ABS(O20),ABS(P20),0),"")</f>
        <v>0.125</v>
      </c>
      <c r="T20" s="9">
        <f>IFERROR(DATE(L20,K20,J20)+R20,"")</f>
        <v>45634.0625</v>
      </c>
      <c r="U20" s="31">
        <f t="shared" ref="U20:U23" si="6">IFERROR(T20-Q20,"")</f>
        <v>45633.9375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468.56</v>
      </c>
      <c r="AA20" s="27">
        <f>IFERROR(ARRIVAL!B26,"")</f>
        <v>2682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12</v>
      </c>
      <c r="K21" s="6" t="str">
        <f>IF(LEN(ARRIVAL!F18)=8,IFERROR(MID(ARRIVAL!F18,3,2),""),IFERROR(MID(ARRIVAL!F18,2,2),""))</f>
        <v>12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10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0">
        <f t="shared" ref="Q21:Q23" si="7">IFERROR(S21*SIGN(O21),"")</f>
        <v>4.1666666666666664E-2</v>
      </c>
      <c r="R21" s="8">
        <f t="shared" ref="R21:R23" si="8">IFERROR(TIME(M21,N21,0),"")</f>
        <v>0.41666666666666669</v>
      </c>
      <c r="S21" s="8">
        <f t="shared" si="5"/>
        <v>4.1666666666666664E-2</v>
      </c>
      <c r="T21" s="9">
        <f>IFERROR(DATE(L21,K21,J21)+R21,"")</f>
        <v>45638.416666666664</v>
      </c>
      <c r="U21" s="31">
        <f t="shared" si="6"/>
        <v>45638.375</v>
      </c>
      <c r="V21" s="11">
        <f>IFERROR(((24*(U21-U20))),"")</f>
        <v>106.5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463.24</v>
      </c>
      <c r="AA21" s="27">
        <f>IFERROR(ARRIVAL!F26,"")</f>
        <v>2161.6999999999998</v>
      </c>
      <c r="AB21" s="27">
        <f>IF($U$21&lt;&gt;"",(X20+Y20)-(X21+Y21),"")</f>
        <v>0</v>
      </c>
      <c r="AC21" s="27">
        <f>IF($U$21&lt;&gt;"",Z20-Z21,"")</f>
        <v>5.3199999999999932</v>
      </c>
      <c r="AD21" s="27">
        <f>IF($U$21&lt;&gt;"",AA20-AA21,"")</f>
        <v>520.30000000000018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2024-12-12T18:07:54Z</dcterms:modified>
</cp:coreProperties>
</file>