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13_ncr:1_{193EED5F-C124-43FB-8098-44C09E5C3877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<sst xmlns="http://schemas.openxmlformats.org/spreadsheetml/2006/main" count="211" uniqueCount="156">
  <si>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</si>
  <si>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</si>
  <si>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</si>
  <si>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</si>
  <si>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</si>
  <si>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</si>
  <si>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</si>
  <si>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</si>
  <si>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</si>
  <si>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</si>
  <si>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</si>
  <si>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</si>
  <si>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</si>
  <si>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</si>
  <si>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</si>
  <si>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</si>
  <si>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</si>
  <si>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</si>
  <si>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</si>
  <si>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</si>
  <si>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</si>
  <si>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</si>
  <si>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</si>
  <si>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</si>
  <si>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</si>
  <si>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</si>
  <si>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</si>
  <si>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</si>
  <si>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</si>
  <si>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</si>
  <si>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</si>
  <si>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</si>
  <si>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</si>
  <si>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</si>
  <si>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</si>
  <si>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</si>
  <si>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</si>
  <si>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</si>
  <si>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</si>
  <si>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</si>
  <si>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</si>
  <si>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</si>
  <si>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</si>
  <si>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</si>
  <si>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</si>
  <si>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</si>
  <si>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</si>
  <si>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</si>
  <si>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</si>
  <si>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</si>
  <si>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</si>
  <si>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</si>
  <si>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</si>
  <si>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</si>
  <si>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</si>
  <si>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</si>
  <si>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</si>
  <si>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</si>
  <si>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</si>
  <si>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</si>
  <si>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</si>
  <si>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</si>
  <si>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</si>
  <si>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</si>
  <si>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</si>
  <si>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</si>
  <si>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</si>
  <si>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</si>
  <si>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</si>
  <si>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</si>
  <si>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</si>
  <si>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</si>
  <si>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</si>
  <si>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</si>
  <si>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</si>
  <si>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</si>
  <si>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</si>
  <si>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</si>
  <si>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</si>
  <si>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</si>
  <si>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</si>
  <si>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</si>
  <si>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</si>
  <si>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</si>
  <si>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</si>
  <si>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</si>
  <si>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</si>
  <si>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</si>
  <si>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</si>
  <si>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</si>
  <si>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</si>
  <si>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</si>
  <si>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</si>
  <si>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</si>
  <si>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</si>
  <si>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</si>
  <si>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</si>
  <si>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</si>
  <si>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</si>
  <si>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</si>
  <si>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</si>
  <si>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</si>
  <si>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</si>
  <si>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</si>
  <si>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</si>
  <si>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</si>
  <si>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</si>
  <si>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</si>
  <si>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</si>
  <si>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</si>
  <si>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</si>
  <si>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</si>
  <si>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</si>
  <si>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</si>
  <si>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</si>
  <si>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</si>
  <si>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</si>
  <si>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</si>
  <si>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</si>
  <si>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</si>
  <si>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</si>
  <si>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</si>
  <si>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</si>
  <si>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</si>
  <si>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</si>
  <si>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</si>
  <si>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</si>
  <si>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</si>
  <si>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</si>
  <si>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</si>
  <si>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</si>
  <si>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</si>
  <si>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</si>
  <si>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</si>
  <si>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</si>
  <si>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</si>
  <si>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</si>
  <si>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</si>
  <si>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</si>
  <si>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</si>
  <si>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</si>
  <si>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</si>
  <si>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</si>
  <si>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</si>
  <si>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</si>
  <si>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</si>
  <si>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</si>
  <si>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</si>
  <si>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</si>
  <si>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</si>
  <si>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</si>
  <si>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</si>
  <si>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</si>
  <si>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46/24</t>
  </si>
  <si>
    <t>DZAZW</t>
  </si>
  <si>
    <t>S/2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</si>
</sst>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zoomScale="130" zoomScaleNormal="130" zoomScaleSheetLayoutView="130" workbookViewId="0">
      <selection activeCell="F14" sqref="F14:G14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</row>
    <row r="2" spans="1:11" ht="20.100000000000001" customHeight="1" x14ac:dyDescent="0.25">
      <c r="A2" s="76" t="s">
        <v>1</v>
      </c>
      <c r="B2" s="76"/>
      <c r="C2" s="76"/>
      <c r="E2" s="15" t="s">
        <v>34</v>
      </c>
      <c r="F2" s="77" t="s">
        <v>12</v>
      </c>
      <c r="G2" s="77"/>
      <c r="I2" s="16" t="s">
        <v>53</v>
      </c>
      <c r="J2" s="65" t="s">
        <v>152</v>
      </c>
      <c r="K2" s="65"/>
    </row>
    <row r="3" spans="1:11" ht="8.1" customHeight="1" x14ac:dyDescent="0.25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</row>
    <row r="4" spans="1:11" ht="15" customHeight="1" x14ac:dyDescent="0.25">
      <c r="A4" s="43" t="s">
        <v>93</v>
      </c>
      <c r="B4" s="43"/>
      <c r="C4" s="43"/>
      <c r="E4" s="72" t="s">
        <v>136</v>
      </c>
      <c r="F4" s="73"/>
      <c r="G4" s="74"/>
      <c r="I4" s="43" t="s">
        <v>68</v>
      </c>
      <c r="J4" s="43"/>
      <c r="K4" s="43"/>
    </row>
    <row r="5" spans="1:11" ht="15" customHeight="1" x14ac:dyDescent="0.25">
      <c r="A5" s="2" t="s">
        <v>79</v>
      </c>
      <c r="B5" s="65" t="s">
        <v>109</v>
      </c>
      <c r="C5" s="65"/>
      <c r="E5" s="2" t="s">
        <v>40</v>
      </c>
      <c r="F5" s="66" t="s">
        <v>155</v>
      </c>
      <c r="G5" s="67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5" t="s">
        <v>153</v>
      </c>
      <c r="C6" s="65"/>
      <c r="E6" s="2" t="s">
        <v>29</v>
      </c>
      <c r="F6" s="68">
        <v>1</v>
      </c>
      <c r="G6" s="69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5" t="s">
        <v>154</v>
      </c>
      <c r="C7" s="65"/>
      <c r="E7" s="2" t="s">
        <v>36</v>
      </c>
      <c r="F7" s="70">
        <v>0</v>
      </c>
      <c r="G7" s="71"/>
      <c r="I7" s="2" t="s">
        <v>17</v>
      </c>
      <c r="J7" s="54">
        <v>548.38</v>
      </c>
      <c r="K7" s="54"/>
    </row>
    <row r="8" spans="1:11" ht="15" customHeight="1" x14ac:dyDescent="0.25">
      <c r="A8" s="2" t="s">
        <v>87</v>
      </c>
      <c r="B8" s="65" t="s">
        <v>90</v>
      </c>
      <c r="C8" s="65"/>
      <c r="E8" s="43" t="s">
        <v>69</v>
      </c>
      <c r="F8" s="43"/>
      <c r="G8" s="43"/>
      <c r="I8" s="2" t="s">
        <v>25</v>
      </c>
      <c r="J8" s="53">
        <v>3908</v>
      </c>
      <c r="K8" s="53"/>
    </row>
    <row r="9" spans="1:11" ht="15" customHeight="1" x14ac:dyDescent="0.25">
      <c r="A9" s="2" t="s">
        <v>66</v>
      </c>
      <c r="B9" s="60">
        <v>13112024</v>
      </c>
      <c r="C9" s="60"/>
      <c r="E9" s="2" t="s">
        <v>70</v>
      </c>
      <c r="F9" s="55"/>
      <c r="G9" s="55"/>
      <c r="I9" s="2" t="s">
        <v>39</v>
      </c>
      <c r="J9" s="61">
        <v>74212</v>
      </c>
      <c r="K9" s="61"/>
    </row>
    <row r="10" spans="1:11" ht="15" customHeight="1" x14ac:dyDescent="0.25">
      <c r="A10" s="2" t="s">
        <v>67</v>
      </c>
      <c r="B10" s="12">
        <v>1030</v>
      </c>
      <c r="C10" s="13">
        <v>100</v>
      </c>
      <c r="E10" s="2" t="s">
        <v>72</v>
      </c>
      <c r="F10" s="55">
        <v>5706876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2">
        <v>440</v>
      </c>
      <c r="C11" s="62"/>
      <c r="E11" s="2" t="s">
        <v>73</v>
      </c>
      <c r="F11" s="55">
        <v>8380909</v>
      </c>
      <c r="G11" s="55"/>
      <c r="I11" s="2" t="s">
        <v>37</v>
      </c>
      <c r="J11" s="55">
        <v>119453706</v>
      </c>
      <c r="K11" s="55"/>
    </row>
    <row r="12" spans="1:11" ht="15" customHeight="1" x14ac:dyDescent="0.25">
      <c r="A12" s="2" t="s">
        <v>38</v>
      </c>
      <c r="B12" s="62">
        <v>264302</v>
      </c>
      <c r="C12" s="62"/>
      <c r="E12" s="2" t="s">
        <v>74</v>
      </c>
      <c r="F12" s="55">
        <v>8041087</v>
      </c>
      <c r="G12" s="55"/>
      <c r="I12" s="2" t="s">
        <v>35</v>
      </c>
      <c r="J12" s="55">
        <v>119268146</v>
      </c>
      <c r="K12" s="55"/>
    </row>
    <row r="13" spans="1:11" ht="15" customHeight="1" x14ac:dyDescent="0.25">
      <c r="E13" s="2" t="s">
        <v>75</v>
      </c>
      <c r="F13" s="55">
        <v>5742774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9635454</v>
      </c>
      <c r="G14" s="55"/>
      <c r="I14" s="2" t="s">
        <v>91</v>
      </c>
      <c r="J14" s="62">
        <v>0</v>
      </c>
      <c r="K14" s="62"/>
    </row>
    <row r="15" spans="1:11" ht="15" customHeight="1" x14ac:dyDescent="0.25">
      <c r="E15" s="2" t="s">
        <v>76</v>
      </c>
      <c r="F15" s="55">
        <v>1266498</v>
      </c>
      <c r="G15" s="55"/>
      <c r="I15" s="2" t="s">
        <v>92</v>
      </c>
      <c r="J15" s="63">
        <v>0</v>
      </c>
      <c r="K15" s="64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8">
        <v>11112024</v>
      </c>
      <c r="C18" s="58"/>
      <c r="E18" s="2" t="s">
        <v>28</v>
      </c>
      <c r="F18" s="56">
        <v>12112024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34">
        <v>1400</v>
      </c>
      <c r="C19" s="35">
        <v>100</v>
      </c>
      <c r="E19" s="2" t="s">
        <v>41</v>
      </c>
      <c r="F19" s="32">
        <v>1100</v>
      </c>
      <c r="G19" s="33">
        <v>100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10</v>
      </c>
      <c r="C20" s="39"/>
      <c r="D20" s="3"/>
      <c r="E20" s="2" t="s">
        <v>21</v>
      </c>
      <c r="F20" s="36">
        <v>310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263950</v>
      </c>
      <c r="C21" s="39"/>
      <c r="D21" s="3"/>
      <c r="E21" s="2" t="s">
        <v>134</v>
      </c>
      <c r="F21" s="36">
        <v>264245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>
        <v>0</v>
      </c>
      <c r="C24" s="41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552.6</v>
      </c>
      <c r="C25" s="41"/>
      <c r="D25" s="3"/>
      <c r="E25" s="2" t="s">
        <v>17</v>
      </c>
      <c r="F25" s="38">
        <v>551.78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4115</v>
      </c>
      <c r="C26" s="40"/>
      <c r="D26" s="3"/>
      <c r="E26" s="2" t="s">
        <v>25</v>
      </c>
      <c r="F26" s="37">
        <v>4098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300</v>
      </c>
      <c r="C29" s="47"/>
      <c r="E29" s="18" t="s">
        <v>146</v>
      </c>
      <c r="F29" s="48">
        <f>IF(B29="","",DATA!V21)</f>
        <v>21</v>
      </c>
      <c r="G29" s="48"/>
      <c r="H29" s="29"/>
      <c r="I29" s="18" t="s">
        <v>43</v>
      </c>
      <c r="J29" s="49">
        <f>IFERROR(ROUND(B29/F29,1),"")</f>
        <v>14.3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0.82000000000005002</v>
      </c>
      <c r="G30" s="45"/>
      <c r="I30" s="28" t="s">
        <v>142</v>
      </c>
      <c r="J30" s="46">
        <f>IF(DATA!AD20&lt;&gt;"",DATA!AD20,DATA!AD21)</f>
        <v>17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11</v>
      </c>
      <c r="K20" s="6" t="str">
        <f>IF(LEN(ARRIVAL!B18)=8,IFERROR(MID(ARRIVAL!B18,3,2),""),IFERROR(MID(ARRIVAL!B18,2,2),""))</f>
        <v>11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14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0.58333333333333337</v>
      </c>
      <c r="S20" s="8">
        <f t="shared" ref="S20:S23" si="5">IFERROR(TIME(ABS(O20),ABS(P20),0),"")</f>
        <v>4.1666666666666664E-2</v>
      </c>
      <c r="T20" s="9">
        <f>IFERROR(DATE(L20,K20,J20)+R20,"")</f>
        <v>45607.583333333336</v>
      </c>
      <c r="U20" s="31">
        <f t="shared" ref="U20:U23" si="6">IFERROR(T20-Q20,"")</f>
        <v>45607.541666666672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552.6</v>
      </c>
      <c r="AA20" s="27">
        <f>IFERROR(ARRIVAL!B26,"")</f>
        <v>4115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12</v>
      </c>
      <c r="K21" s="6" t="str">
        <f>IF(LEN(ARRIVAL!F18)=8,IFERROR(MID(ARRIVAL!F18,3,2),""),IFERROR(MID(ARRIVAL!F18,2,2),""))</f>
        <v>11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11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0.45833333333333331</v>
      </c>
      <c r="S21" s="8">
        <f t="shared" si="5"/>
        <v>4.1666666666666664E-2</v>
      </c>
      <c r="T21" s="9">
        <f>IFERROR(DATE(L21,K21,J21)+R21,"")</f>
        <v>45608.458333333336</v>
      </c>
      <c r="U21" s="31">
        <f t="shared" si="6"/>
        <v>45608.416666666672</v>
      </c>
      <c r="V21" s="11">
        <f>IFERROR(((24*(U21-U20))),"")</f>
        <v>21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551.78</v>
      </c>
      <c r="AA21" s="27">
        <f>IFERROR(ARRIVAL!F26,"")</f>
        <v>4098</v>
      </c>
      <c r="AB21" s="27">
        <f>IF($U$21&lt;&gt;"",(X20+Y20)-(X21+Y21),"")</f>
        <v>0</v>
      </c>
      <c r="AC21" s="27">
        <f>IF($U$21&lt;&gt;"",Z20-Z21,"")</f>
        <v>0.82000000000005002</v>
      </c>
      <c r="AD21" s="27">
        <f>IF($U$21&lt;&gt;"",AA20-AA21,"")</f>
        <v>17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2024-11-13T10:05:01Z</dcterms:modified>
</cp:coreProperties>
</file>