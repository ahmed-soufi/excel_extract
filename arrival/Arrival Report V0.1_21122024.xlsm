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08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R23" i="3" s="1"/>
  <c r="L23" i="3"/>
  <c r="P22" i="3"/>
  <c r="O22" i="3"/>
  <c r="S22" i="3" s="1"/>
  <c r="Q22" i="3" s="1"/>
  <c r="N22" i="3"/>
  <c r="R22" i="3" s="1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S23" i="3"/>
  <c r="Q23" i="3" s="1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U6" i="3" s="1"/>
  <c r="V6" i="3" s="1"/>
  <c r="R7" i="3"/>
  <c r="T7" i="3" s="1"/>
  <c r="U7" i="3" s="1"/>
  <c r="S3" i="3"/>
  <c r="Q3" i="3" s="1"/>
  <c r="R3" i="3"/>
  <c r="S2" i="3"/>
  <c r="Q2" i="3"/>
  <c r="S4" i="3"/>
  <c r="Q4" i="3" s="1"/>
  <c r="R2" i="3"/>
  <c r="T2" i="3"/>
  <c r="U2" i="3" s="1"/>
  <c r="V3" i="3" s="1"/>
  <c r="R4" i="3"/>
  <c r="T4" i="3" s="1"/>
  <c r="U4" i="3" s="1"/>
  <c r="T3" i="3"/>
  <c r="U3" i="3" s="1"/>
  <c r="T23" i="3" l="1"/>
  <c r="U23" i="3" s="1"/>
  <c r="T22" i="3"/>
  <c r="U22" i="3" s="1"/>
  <c r="R21" i="3"/>
  <c r="T21" i="3" s="1"/>
  <c r="U21" i="3" s="1"/>
  <c r="S20" i="3"/>
  <c r="Q20" i="3" s="1"/>
  <c r="R20" i="3"/>
  <c r="T20" i="3" s="1"/>
  <c r="AD4" i="3"/>
  <c r="J30" i="3" s="1"/>
  <c r="AB4" i="3"/>
  <c r="V4" i="3"/>
  <c r="AC4" i="3"/>
  <c r="AC3" i="3"/>
  <c r="AB3" i="3"/>
  <c r="AD3" i="3"/>
  <c r="U20" i="3" l="1"/>
  <c r="V21" i="3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<sst xmlns="http://schemas.openxmlformats.org/spreadsheetml/2006/main" count="212" uniqueCount="156">
  <si>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</si>
  <si>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</si>
  <si>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</si>
  <si>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</si>
  <si>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</si>
  <si>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</si>
  <si>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</si>
  <si>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</si>
  <si>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</si>
  <si>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</si>
  <si>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</si>
  <si>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</si>
  <si>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</si>
  <si>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</si>
  <si>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</si>
  <si>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</si>
  <si>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</si>
  <si>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</si>
  <si>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</si>
  <si>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</si>
  <si>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</si>
  <si>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</si>
  <si>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</si>
  <si>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</si>
  <si>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</si>
  <si>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</si>
  <si>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</si>
  <si>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</si>
  <si>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</si>
  <si>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</si>
  <si>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</si>
  <si>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</si>
  <si>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</si>
  <si>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</si>
  <si>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</si>
  <si>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</si>
  <si>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</si>
  <si>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</si>
  <si>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</si>
  <si>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</si>
  <si>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</si>
  <si>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</si>
  <si>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</si>
  <si>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</si>
  <si>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</si>
  <si>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</si>
  <si>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</si>
  <si>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</si>
  <si>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</si>
  <si>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</si>
  <si>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</si>
  <si>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</si>
  <si>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</si>
  <si>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</si>
  <si>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</si>
  <si>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</si>
  <si>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</si>
  <si>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</si>
  <si>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</si>
  <si>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</si>
  <si>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</si>
  <si>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</si>
  <si>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</si>
  <si>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</si>
  <si>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</si>
  <si>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</si>
  <si>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</si>
  <si>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</si>
  <si>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</si>
  <si>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</si>
  <si>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</si>
  <si>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</si>
  <si>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</si>
  <si>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</si>
  <si>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</si>
  <si>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</si>
  <si>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</si>
  <si>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</si>
  <si>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</si>
  <si>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</si>
  <si>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</si>
  <si>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</si>
  <si>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</si>
  <si>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</si>
  <si>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</si>
  <si>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</si>
  <si>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</si>
  <si>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</si>
  <si>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</si>
  <si>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</si>
  <si>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</si>
  <si>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</si>
  <si>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</si>
  <si>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</si>
  <si>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</si>
  <si>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</si>
  <si>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</si>
  <si>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</si>
  <si>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</si>
  <si>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</si>
  <si>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</si>
  <si>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</si>
  <si>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</si>
  <si>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</si>
  <si>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</si>
  <si>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</si>
  <si>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</si>
  <si>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</si>
  <si>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</si>
  <si>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</si>
  <si>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</si>
  <si>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</si>
  <si>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</si>
  <si>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</si>
  <si>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</si>
  <si>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</si>
  <si>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</si>
  <si>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</si>
  <si>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</si>
  <si>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</si>
  <si>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</si>
  <si>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</si>
  <si>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</si>
  <si>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</si>
  <si>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</si>
  <si>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</si>
  <si>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</si>
  <si>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</si>
  <si>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</si>
  <si>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</si>
  <si>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</si>
  <si>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</si>
  <si>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</si>
  <si>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</si>
  <si>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</si>
  <si>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</si>
  <si>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</si>
  <si>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</si>
  <si>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</si>
  <si>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</si>
  <si>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</si>
  <si>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</si>
  <si>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</si>
  <si>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</si>
  <si>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</si>
  <si>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</si>
  <si>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</si>
  <si>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</si>
  <si>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</si>
  <si>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</si>
  <si>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</si>
  <si>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</si>
  <si>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</si>
  <si>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51/24</t>
  </si>
  <si>
    <t>ITPIO</t>
  </si>
  <si>
    <t>N/2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</si>
</sst>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F9" sqref="F9:G9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20.100000000000001" customHeight="1" x14ac:dyDescent="0.25">
      <c r="A2" s="77" t="s">
        <v>1</v>
      </c>
      <c r="B2" s="77"/>
      <c r="C2" s="77"/>
      <c r="E2" s="15" t="s">
        <v>34</v>
      </c>
      <c r="F2" s="78" t="s">
        <v>12</v>
      </c>
      <c r="G2" s="78"/>
      <c r="I2" s="16" t="s">
        <v>53</v>
      </c>
      <c r="J2" s="66" t="s">
        <v>152</v>
      </c>
      <c r="K2" s="66"/>
    </row>
    <row r="3" spans="1:11" ht="8.1" customHeight="1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15" customHeight="1" x14ac:dyDescent="0.25">
      <c r="A4" s="44" t="s">
        <v>93</v>
      </c>
      <c r="B4" s="44"/>
      <c r="C4" s="44"/>
      <c r="E4" s="73" t="s">
        <v>136</v>
      </c>
      <c r="F4" s="74"/>
      <c r="G4" s="75"/>
      <c r="I4" s="44" t="s">
        <v>68</v>
      </c>
      <c r="J4" s="44"/>
      <c r="K4" s="44"/>
    </row>
    <row r="5" spans="1:11" ht="15" customHeight="1" x14ac:dyDescent="0.25">
      <c r="A5" s="2" t="s">
        <v>79</v>
      </c>
      <c r="B5" s="66" t="s">
        <v>109</v>
      </c>
      <c r="C5" s="66"/>
      <c r="E5" s="2" t="s">
        <v>40</v>
      </c>
      <c r="F5" s="67" t="s">
        <v>155</v>
      </c>
      <c r="G5" s="68"/>
      <c r="I5" s="2" t="s">
        <v>23</v>
      </c>
      <c r="J5" s="55">
        <v>1107</v>
      </c>
      <c r="K5" s="55"/>
    </row>
    <row r="6" spans="1:11" ht="15" customHeight="1" x14ac:dyDescent="0.25">
      <c r="A6" s="2" t="s">
        <v>78</v>
      </c>
      <c r="B6" s="66" t="s">
        <v>153</v>
      </c>
      <c r="C6" s="66"/>
      <c r="E6" s="2" t="s">
        <v>29</v>
      </c>
      <c r="F6" s="69">
        <v>1</v>
      </c>
      <c r="G6" s="70"/>
      <c r="I6" s="2" t="s">
        <v>24</v>
      </c>
      <c r="J6" s="55">
        <v>0</v>
      </c>
      <c r="K6" s="55"/>
    </row>
    <row r="7" spans="1:11" ht="15" customHeight="1" x14ac:dyDescent="0.25">
      <c r="A7" s="2" t="s">
        <v>77</v>
      </c>
      <c r="B7" s="66" t="s">
        <v>154</v>
      </c>
      <c r="C7" s="66"/>
      <c r="E7" s="2" t="s">
        <v>36</v>
      </c>
      <c r="F7" s="71">
        <v>8</v>
      </c>
      <c r="G7" s="72"/>
      <c r="I7" s="2" t="s">
        <v>17</v>
      </c>
      <c r="J7" s="55">
        <v>439.11</v>
      </c>
      <c r="K7" s="55"/>
    </row>
    <row r="8" spans="1:11" ht="15" customHeight="1" x14ac:dyDescent="0.25">
      <c r="A8" s="2" t="s">
        <v>87</v>
      </c>
      <c r="B8" s="66" t="s">
        <v>89</v>
      </c>
      <c r="C8" s="66"/>
      <c r="E8" s="44" t="s">
        <v>69</v>
      </c>
      <c r="F8" s="44"/>
      <c r="G8" s="44"/>
      <c r="I8" s="2" t="s">
        <v>25</v>
      </c>
      <c r="J8" s="54">
        <v>167578.6</v>
      </c>
      <c r="K8" s="54"/>
    </row>
    <row r="9" spans="1:11" ht="15" customHeight="1" x14ac:dyDescent="0.25">
      <c r="A9" s="2" t="s">
        <v>66</v>
      </c>
      <c r="B9" s="61">
        <v>21122024</v>
      </c>
      <c r="C9" s="61"/>
      <c r="E9" s="2" t="s">
        <v>70</v>
      </c>
      <c r="F9" s="56"/>
      <c r="G9" s="56"/>
      <c r="I9" s="2" t="s">
        <v>39</v>
      </c>
      <c r="J9" s="62">
        <v>69537</v>
      </c>
      <c r="K9" s="62"/>
    </row>
    <row r="10" spans="1:11" ht="15" customHeight="1" x14ac:dyDescent="0.25">
      <c r="A10" s="2" t="s">
        <v>67</v>
      </c>
      <c r="B10" s="12">
        <v>230</v>
      </c>
      <c r="C10" s="13">
        <v>100</v>
      </c>
      <c r="E10" s="2" t="s">
        <v>72</v>
      </c>
      <c r="F10" s="56">
        <v>5924837</v>
      </c>
      <c r="G10" s="56"/>
      <c r="I10" s="44" t="s">
        <v>56</v>
      </c>
      <c r="J10" s="44"/>
      <c r="K10" s="44"/>
    </row>
    <row r="11" spans="1:11" ht="15" customHeight="1" x14ac:dyDescent="0.25">
      <c r="A11" s="2" t="s">
        <v>20</v>
      </c>
      <c r="B11" s="63">
        <v>1433</v>
      </c>
      <c r="C11" s="63"/>
      <c r="E11" s="2" t="s">
        <v>73</v>
      </c>
      <c r="F11" s="56">
        <v>9376323</v>
      </c>
      <c r="G11" s="56"/>
      <c r="I11" s="2" t="s">
        <v>37</v>
      </c>
      <c r="J11" s="56">
        <v>122695763</v>
      </c>
      <c r="K11" s="56"/>
    </row>
    <row r="12" spans="1:11" ht="15" customHeight="1" x14ac:dyDescent="0.25">
      <c r="A12" s="2" t="s">
        <v>38</v>
      </c>
      <c r="B12" s="63">
        <v>273711.78000000003</v>
      </c>
      <c r="C12" s="63"/>
      <c r="E12" s="2" t="s">
        <v>74</v>
      </c>
      <c r="F12" s="56">
        <v>8958309</v>
      </c>
      <c r="G12" s="56"/>
      <c r="I12" s="2" t="s">
        <v>35</v>
      </c>
      <c r="J12" s="56">
        <v>122503880</v>
      </c>
      <c r="K12" s="56"/>
    </row>
    <row r="13" spans="1:11" ht="15" customHeight="1" x14ac:dyDescent="0.25">
      <c r="E13" s="2" t="s">
        <v>75</v>
      </c>
      <c r="F13" s="56">
        <v>6317371</v>
      </c>
      <c r="G13" s="56"/>
      <c r="I13" s="44" t="s">
        <v>96</v>
      </c>
      <c r="J13" s="44"/>
      <c r="K13" s="44"/>
    </row>
    <row r="14" spans="1:11" ht="15" customHeight="1" x14ac:dyDescent="0.25">
      <c r="E14" s="2" t="s">
        <v>71</v>
      </c>
      <c r="F14" s="56">
        <v>10110153</v>
      </c>
      <c r="G14" s="56"/>
      <c r="I14" s="2" t="s">
        <v>91</v>
      </c>
      <c r="J14" s="63"/>
      <c r="K14" s="63"/>
    </row>
    <row r="15" spans="1:11" ht="15" customHeight="1" x14ac:dyDescent="0.25">
      <c r="E15" s="2" t="s">
        <v>76</v>
      </c>
      <c r="F15" s="56">
        <v>1266823</v>
      </c>
      <c r="G15" s="56"/>
      <c r="I15" s="2" t="s">
        <v>92</v>
      </c>
      <c r="J15" s="64"/>
      <c r="K15" s="65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4" t="s">
        <v>94</v>
      </c>
      <c r="B17" s="44"/>
      <c r="C17" s="44"/>
      <c r="E17" s="44" t="s">
        <v>95</v>
      </c>
      <c r="F17" s="44"/>
      <c r="G17" s="44"/>
      <c r="I17" s="44" t="s">
        <v>54</v>
      </c>
      <c r="J17" s="44"/>
      <c r="K17" s="44"/>
    </row>
    <row r="18" spans="1:11" ht="15" customHeight="1" x14ac:dyDescent="0.25">
      <c r="A18" s="2" t="s">
        <v>16</v>
      </c>
      <c r="B18" s="59">
        <v>14122024</v>
      </c>
      <c r="C18" s="59"/>
      <c r="E18" s="2" t="s">
        <v>28</v>
      </c>
      <c r="F18" s="57">
        <v>18122024</v>
      </c>
      <c r="G18" s="58"/>
      <c r="I18" s="2" t="s">
        <v>0</v>
      </c>
      <c r="J18" s="60" t="s">
        <v>154</v>
      </c>
      <c r="K18" s="60"/>
    </row>
    <row r="19" spans="1:11" ht="15" customHeight="1" x14ac:dyDescent="0.25">
      <c r="A19" s="2" t="s">
        <v>41</v>
      </c>
      <c r="B19" s="34">
        <v>1730</v>
      </c>
      <c r="C19" s="35">
        <v>100</v>
      </c>
      <c r="E19" s="2" t="s">
        <v>41</v>
      </c>
      <c r="F19" s="32">
        <v>600</v>
      </c>
      <c r="G19" s="33">
        <v>100</v>
      </c>
      <c r="I19" s="2" t="s">
        <v>30</v>
      </c>
      <c r="J19" s="45">
        <v>18122024</v>
      </c>
      <c r="K19" s="45"/>
    </row>
    <row r="20" spans="1:11" ht="15" customHeight="1" x14ac:dyDescent="0.25">
      <c r="A20" s="2" t="s">
        <v>22</v>
      </c>
      <c r="B20" s="38">
        <v>24</v>
      </c>
      <c r="C20" s="38"/>
      <c r="D20" s="3"/>
      <c r="E20" s="2" t="s">
        <v>21</v>
      </c>
      <c r="F20" s="36">
        <v>1070</v>
      </c>
      <c r="G20" s="36"/>
      <c r="H20" s="3"/>
      <c r="I20" s="2" t="s">
        <v>41</v>
      </c>
      <c r="J20" s="14">
        <v>825</v>
      </c>
      <c r="K20" s="19">
        <v>100</v>
      </c>
    </row>
    <row r="21" spans="1:11" ht="15" customHeight="1" x14ac:dyDescent="0.25">
      <c r="A21" s="2" t="s">
        <v>135</v>
      </c>
      <c r="B21" s="38">
        <v>272322</v>
      </c>
      <c r="C21" s="38"/>
      <c r="D21" s="3"/>
      <c r="E21" s="2" t="s">
        <v>134</v>
      </c>
      <c r="F21" s="36">
        <v>273353</v>
      </c>
      <c r="G21" s="36"/>
      <c r="H21" s="3"/>
      <c r="I21" s="2" t="s">
        <v>31</v>
      </c>
      <c r="J21" s="43">
        <v>1083</v>
      </c>
      <c r="K21" s="43"/>
    </row>
    <row r="22" spans="1:11" ht="15" customHeight="1" x14ac:dyDescent="0.25">
      <c r="A22" s="44" t="s">
        <v>26</v>
      </c>
      <c r="B22" s="44"/>
      <c r="C22" s="44"/>
      <c r="D22" s="3"/>
      <c r="E22" s="44" t="s">
        <v>27</v>
      </c>
      <c r="F22" s="44"/>
      <c r="G22" s="44"/>
      <c r="H22" s="3"/>
      <c r="I22" s="44" t="s">
        <v>55</v>
      </c>
      <c r="J22" s="44"/>
      <c r="K22" s="44"/>
    </row>
    <row r="23" spans="1:11" ht="15" customHeight="1" x14ac:dyDescent="0.25">
      <c r="A23" s="2" t="s">
        <v>23</v>
      </c>
      <c r="B23" s="41">
        <v>1107</v>
      </c>
      <c r="C23" s="42"/>
      <c r="D23" s="3"/>
      <c r="E23" s="2" t="s">
        <v>23</v>
      </c>
      <c r="F23" s="37">
        <v>1107</v>
      </c>
      <c r="G23" s="37"/>
      <c r="H23" s="3"/>
      <c r="I23" s="2" t="s">
        <v>33</v>
      </c>
      <c r="J23" s="45">
        <v>19122024</v>
      </c>
      <c r="K23" s="45"/>
    </row>
    <row r="24" spans="1:11" ht="15" customHeight="1" x14ac:dyDescent="0.25">
      <c r="A24" s="2" t="s">
        <v>24</v>
      </c>
      <c r="B24" s="41">
        <v>0</v>
      </c>
      <c r="C24" s="42"/>
      <c r="D24" s="3"/>
      <c r="E24" s="2" t="s">
        <v>24</v>
      </c>
      <c r="F24" s="37">
        <v>0</v>
      </c>
      <c r="G24" s="37"/>
      <c r="H24" s="3"/>
      <c r="I24" s="2" t="s">
        <v>41</v>
      </c>
      <c r="J24" s="14">
        <v>1135</v>
      </c>
      <c r="K24" s="19">
        <v>100</v>
      </c>
    </row>
    <row r="25" spans="1:11" ht="15" customHeight="1" x14ac:dyDescent="0.25">
      <c r="A25" s="2" t="s">
        <v>17</v>
      </c>
      <c r="B25" s="41">
        <v>449.61</v>
      </c>
      <c r="C25" s="42"/>
      <c r="D25" s="3"/>
      <c r="E25" s="2" t="s">
        <v>17</v>
      </c>
      <c r="F25" s="37">
        <v>445.78</v>
      </c>
      <c r="G25" s="37"/>
      <c r="H25" s="3"/>
      <c r="I25" s="2" t="s">
        <v>32</v>
      </c>
      <c r="J25" s="43">
        <v>1084</v>
      </c>
      <c r="K25" s="43"/>
    </row>
    <row r="26" spans="1:11" ht="15" customHeight="1" x14ac:dyDescent="0.25">
      <c r="A26" s="2" t="s">
        <v>25</v>
      </c>
      <c r="B26" s="39">
        <v>168272.5</v>
      </c>
      <c r="C26" s="40"/>
      <c r="D26" s="3"/>
      <c r="E26" s="2" t="s">
        <v>25</v>
      </c>
      <c r="F26" s="37">
        <v>168195.6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1" t="s">
        <v>107</v>
      </c>
      <c r="B28" s="52"/>
      <c r="C28" s="52"/>
      <c r="D28" s="52"/>
      <c r="E28" s="52"/>
      <c r="F28" s="52"/>
      <c r="G28" s="52"/>
      <c r="H28" s="52"/>
      <c r="I28" s="52"/>
      <c r="J28" s="52"/>
      <c r="K28" s="53"/>
    </row>
    <row r="29" spans="1:11" ht="15" customHeight="1" x14ac:dyDescent="0.25">
      <c r="A29" s="18" t="s">
        <v>42</v>
      </c>
      <c r="B29" s="48">
        <f>IF(F20="","",F20-B20)</f>
        <v>1046</v>
      </c>
      <c r="C29" s="48"/>
      <c r="E29" s="18" t="s">
        <v>146</v>
      </c>
      <c r="F29" s="49">
        <f>IF(B29="","",DATA!V21)</f>
        <v>84.500000000058208</v>
      </c>
      <c r="G29" s="49"/>
      <c r="H29" s="29"/>
      <c r="I29" s="18" t="s">
        <v>43</v>
      </c>
      <c r="J29" s="50">
        <f>IFERROR(ROUND(B29/F29,1),"")</f>
        <v>12.4</v>
      </c>
      <c r="K29" s="50"/>
    </row>
    <row r="30" spans="1:11" s="22" customFormat="1" ht="15" customHeight="1" x14ac:dyDescent="0.25">
      <c r="A30" s="28" t="s">
        <v>140</v>
      </c>
      <c r="B30" s="46">
        <f>IF(DATA!AB20&lt;&gt;"",DATA!AB20,DATA!AB21)</f>
        <v>0</v>
      </c>
      <c r="C30" s="46"/>
      <c r="E30" s="28" t="s">
        <v>141</v>
      </c>
      <c r="F30" s="46">
        <f>IF(DATA!AC20&lt;&gt;"",DATA!AC20,DATA!AC21)</f>
        <v>3.8300000000000409</v>
      </c>
      <c r="G30" s="46"/>
      <c r="I30" s="28" t="s">
        <v>142</v>
      </c>
      <c r="J30" s="47">
        <f>IF(DATA!AD20&lt;&gt;"",DATA!AD20,DATA!AD21)</f>
        <v>76.899999999994179</v>
      </c>
      <c r="K30" s="47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14</v>
      </c>
      <c r="K20" s="6" t="str">
        <f>IF(LEN(ARRIVAL!B18)=8,IFERROR(MID(ARRIVAL!B18,3,2),""),IFERROR(MID(ARRIVAL!B18,2,2),""))</f>
        <v>12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17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0.72916666666666663</v>
      </c>
      <c r="S20" s="8">
        <f t="shared" ref="S20:S23" si="5">IFERROR(TIME(ABS(O20),ABS(P20),0),"")</f>
        <v>4.1666666666666664E-2</v>
      </c>
      <c r="T20" s="9">
        <f>IFERROR(DATE(L20,K20,J20)+R20,"")</f>
        <v>45640.729166666664</v>
      </c>
      <c r="U20" s="31">
        <f t="shared" ref="U20:U23" si="6">IFERROR(T20-Q20,"")</f>
        <v>45640.6875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449.61</v>
      </c>
      <c r="AA20" s="27">
        <f>IFERROR(ARRIVAL!B26,"")</f>
        <v>168272.5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18</v>
      </c>
      <c r="K21" s="6" t="str">
        <f>IF(LEN(ARRIVAL!F18)=8,IFERROR(MID(ARRIVAL!F18,3,2),""),IFERROR(MID(ARRIVAL!F18,2,2),""))</f>
        <v>12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0.25</v>
      </c>
      <c r="S21" s="8">
        <f t="shared" si="5"/>
        <v>4.1666666666666664E-2</v>
      </c>
      <c r="T21" s="9">
        <f>IFERROR(DATE(L21,K21,J21)+R21,"")</f>
        <v>45644.25</v>
      </c>
      <c r="U21" s="31">
        <f t="shared" si="6"/>
        <v>45644.208333333336</v>
      </c>
      <c r="V21" s="11">
        <f>IFERROR(((24*(U21-U20))),"")</f>
        <v>84.500000000058208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445.78</v>
      </c>
      <c r="AA21" s="27">
        <f>IFERROR(ARRIVAL!F26,"")</f>
        <v>168195.6</v>
      </c>
      <c r="AB21" s="27">
        <f>IF($U$21&lt;&gt;"",(X20+Y20)-(X21+Y21),"")</f>
        <v>0</v>
      </c>
      <c r="AC21" s="27">
        <f>IF($U$21&lt;&gt;"",Z20-Z21,"")</f>
        <v>3.8300000000000409</v>
      </c>
      <c r="AD21" s="27">
        <f>IF($U$21&lt;&gt;"",AA20-AA21,"")</f>
        <v>76.899999999994179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>18</v>
      </c>
      <c r="K22" s="6" t="str">
        <f>IF(LEN(ARRIVAL!J19)=8,IFERROR(MID(ARRIVAL!J19,3,2),""),IFERROR(MID(ARRIVAL!J19,2,2),""))</f>
        <v>12</v>
      </c>
      <c r="L22" s="7" t="str">
        <f>IFERROR(RIGHT(ARRIVAL!J19,4),"")</f>
        <v>2024</v>
      </c>
      <c r="M22" s="6" t="str">
        <f>IFERROR(IF(LEN(ARRIVAL!J20)=3,LEFT(ARRIVAL!J20,1),IF(LEN(ARRIVAL!J20)=4,LEFT(ARRIVAL!J20,2),"")),"")</f>
        <v>8</v>
      </c>
      <c r="N22" s="6" t="str">
        <f>IFERROR(RIGHT(ARRIVAL!J20,2),"")</f>
        <v>25</v>
      </c>
      <c r="O22" s="6" t="str">
        <f>IFERROR(IF(LEN(ARRIVAL!K20)=3,LEFT(ARRIVAL!K20,1),IF(LEN(ARRIVAL!K20)=4,LEFT(ARRIVAL!K20,2),"")),"")</f>
        <v>1</v>
      </c>
      <c r="P22" s="6" t="str">
        <f>IFERROR(RIGHT(ARRIVAL!K20,2),"")</f>
        <v>00</v>
      </c>
      <c r="Q22" s="30">
        <f t="shared" si="7"/>
        <v>4.1666666666666664E-2</v>
      </c>
      <c r="R22" s="8">
        <f t="shared" si="8"/>
        <v>0.35069444444444442</v>
      </c>
      <c r="S22" s="8">
        <f t="shared" si="5"/>
        <v>4.1666666666666664E-2</v>
      </c>
      <c r="T22" s="9">
        <f>IFERROR(DATE(L22,K22,J22)+R22,"")</f>
        <v>45644.350694444445</v>
      </c>
      <c r="U22" s="31">
        <f t="shared" si="6"/>
        <v>45644.309027777781</v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>19</v>
      </c>
      <c r="K23" s="6" t="str">
        <f>IF(LEN(ARRIVAL!J23)=8,IFERROR(MID(ARRIVAL!J23,3,2),""),IFERROR(MID(ARRIVAL!J23,2,2),""))</f>
        <v>12</v>
      </c>
      <c r="L23" s="7" t="str">
        <f>IFERROR(RIGHT(ARRIVAL!J23,4),"")</f>
        <v>2024</v>
      </c>
      <c r="M23" s="6" t="str">
        <f>IFERROR(IF(LEN(ARRIVAL!J24)=3,LEFT(ARRIVAL!J24,1),IF(LEN(ARRIVAL!J24)=4,LEFT(ARRIVAL!J24,2),"")),"")</f>
        <v>11</v>
      </c>
      <c r="N23" s="6" t="str">
        <f>IFERROR(RIGHT(ARRIVAL!J24,2),"")</f>
        <v>35</v>
      </c>
      <c r="O23" s="6" t="str">
        <f>IFERROR(IF(LEN(ARRIVAL!K24)=3,LEFT(ARRIVAL!K24,1),IF(LEN(ARRIVAL!K24)=4,LEFT(ARRIVAL!K24,2),"")),"")</f>
        <v>1</v>
      </c>
      <c r="P23" s="6" t="str">
        <f>IFERROR(RIGHT(ARRIVAL!K24,2),"")</f>
        <v>00</v>
      </c>
      <c r="Q23" s="30">
        <f t="shared" si="7"/>
        <v>4.1666666666666664E-2</v>
      </c>
      <c r="R23" s="8">
        <f t="shared" si="8"/>
        <v>0.4826388888888889</v>
      </c>
      <c r="S23" s="8">
        <f t="shared" si="5"/>
        <v>4.1666666666666664E-2</v>
      </c>
      <c r="T23" s="9">
        <f>IFERROR(DATE(L23,K23,J23)+R23,"")</f>
        <v>45645.482638888891</v>
      </c>
      <c r="U23" s="31">
        <f t="shared" si="6"/>
        <v>45645.440972222226</v>
      </c>
      <c r="V23" s="11">
        <f>IFERROR(((24*(U23-U22))),"")</f>
        <v>27.166666666686069</v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2024-12-21T02:27:58Z</dcterms:modified>
</cp:coreProperties>
</file>