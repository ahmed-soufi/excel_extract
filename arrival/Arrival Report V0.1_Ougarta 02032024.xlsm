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<sst xmlns="http://schemas.openxmlformats.org/spreadsheetml/2006/main" count="212" uniqueCount="157">
  <si>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</si>
  <si>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</si>
  <si>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</si>
  <si>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</si>
  <si>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</si>
  <si>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</si>
  <si>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</si>
  <si>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</si>
  <si>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</si>
  <si>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</si>
  <si>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</si>
  <si>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</si>
  <si>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</si>
  <si>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</si>
  <si>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</si>
  <si>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</si>
  <si>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</si>
  <si>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</si>
  <si>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</si>
  <si>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</si>
  <si>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</si>
  <si>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</si>
  <si>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</si>
  <si>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</si>
  <si>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</si>
  <si>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</si>
  <si>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</si>
  <si>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</si>
  <si>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</si>
  <si>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</si>
  <si>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</si>
  <si>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</si>
  <si>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</si>
  <si>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</si>
  <si>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</si>
  <si>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</si>
  <si>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</si>
  <si>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</si>
  <si>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</si>
  <si>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</si>
  <si>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</si>
  <si>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</si>
  <si>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</si>
  <si>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</si>
  <si>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</si>
  <si>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</si>
  <si>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</si>
  <si>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</si>
  <si>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</si>
  <si>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</si>
  <si>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</si>
  <si>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</si>
  <si>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</si>
  <si>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</si>
  <si>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</si>
  <si>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</si>
  <si>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</si>
  <si>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</si>
  <si>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</si>
  <si>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</si>
  <si>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</si>
  <si>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</si>
  <si>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</si>
  <si>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</si>
  <si>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</si>
  <si>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</si>
  <si>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</si>
  <si>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</si>
  <si>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</si>
  <si>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</si>
  <si>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</si>
  <si>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</si>
  <si>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</si>
  <si>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</si>
  <si>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</si>
  <si>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</si>
  <si>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</si>
  <si>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</si>
  <si>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</si>
  <si>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</si>
  <si>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</si>
  <si>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</si>
  <si>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</si>
  <si>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</si>
  <si>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</si>
  <si>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</si>
  <si>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</si>
  <si>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</si>
  <si>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</si>
  <si>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</si>
  <si>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</si>
  <si>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</si>
  <si>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</si>
  <si>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</si>
  <si>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</si>
  <si>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</si>
  <si>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</si>
  <si>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</si>
  <si>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</si>
  <si>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</si>
  <si>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</si>
  <si>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</si>
  <si>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</si>
  <si>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</si>
  <si>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</si>
  <si>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</si>
  <si>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</si>
  <si>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</si>
  <si>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</si>
  <si>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</si>
  <si>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</si>
  <si>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</si>
  <si>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</si>
  <si>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</si>
  <si>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</si>
  <si>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</si>
  <si>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</si>
  <si>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</si>
  <si>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</si>
  <si>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</si>
  <si>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</si>
  <si>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</si>
  <si>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</si>
  <si>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</si>
  <si>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</si>
  <si>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</si>
  <si>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</si>
  <si>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</si>
  <si>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</si>
  <si>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</si>
  <si>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</si>
  <si>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</si>
  <si>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</si>
  <si>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</si>
  <si>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</si>
  <si>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</si>
  <si>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</si>
  <si>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</si>
  <si>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</si>
  <si>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</si>
  <si>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</si>
  <si>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</si>
  <si>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</si>
  <si>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</si>
  <si>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</si>
  <si>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</si>
  <si>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</si>
  <si>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</si>
  <si>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</si>
  <si>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</si>
  <si>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</si>
  <si>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</si>
  <si>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</si>
  <si>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008/24</t>
  </si>
  <si>
    <t>TRDYL</t>
  </si>
  <si>
    <t xml:space="preserve"> 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</si>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</sst>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7" zoomScale="126" zoomScaleNormal="130" zoomScaleSheetLayoutView="126" workbookViewId="0">
      <selection activeCell="F15" sqref="F15:G1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156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3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3">
        <v>483.57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145113.9</v>
      </c>
      <c r="K8" s="62"/>
    </row>
    <row r="9" spans="1:11" ht="15" customHeight="1" x14ac:dyDescent="0.25">
      <c r="A9" s="2" t="s">
        <v>66</v>
      </c>
      <c r="B9" s="55">
        <v>2032024</v>
      </c>
      <c r="C9" s="55"/>
      <c r="E9" s="2" t="s">
        <v>70</v>
      </c>
      <c r="F9" s="40" t="s">
        <v>155</v>
      </c>
      <c r="G9" s="40"/>
      <c r="I9" s="2" t="s">
        <v>39</v>
      </c>
      <c r="J9" s="56">
        <v>35907</v>
      </c>
      <c r="K9" s="56"/>
    </row>
    <row r="10" spans="1:11" ht="15" customHeight="1" x14ac:dyDescent="0.25">
      <c r="A10" s="2" t="s">
        <v>67</v>
      </c>
      <c r="B10" s="12">
        <v>1045</v>
      </c>
      <c r="C10" s="13">
        <v>300</v>
      </c>
      <c r="E10" s="2" t="s">
        <v>72</v>
      </c>
      <c r="F10" s="40">
        <v>2926224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2466</v>
      </c>
      <c r="C11" s="41"/>
      <c r="E11" s="2" t="s">
        <v>73</v>
      </c>
      <c r="F11" s="40">
        <v>3058963</v>
      </c>
      <c r="G11" s="40"/>
      <c r="I11" s="2" t="s">
        <v>37</v>
      </c>
      <c r="J11" s="40">
        <v>1077976</v>
      </c>
      <c r="K11" s="40"/>
    </row>
    <row r="12" spans="1:11" ht="15" customHeight="1" x14ac:dyDescent="0.25">
      <c r="A12" s="2" t="s">
        <v>38</v>
      </c>
      <c r="B12" s="41">
        <v>204482</v>
      </c>
      <c r="C12" s="41"/>
      <c r="E12" s="2" t="s">
        <v>74</v>
      </c>
      <c r="F12" s="40">
        <v>2426869</v>
      </c>
      <c r="G12" s="40"/>
      <c r="I12" s="2" t="s">
        <v>35</v>
      </c>
      <c r="J12" s="40">
        <v>107617924</v>
      </c>
      <c r="K12" s="40"/>
    </row>
    <row r="13" spans="1:11" ht="15" customHeight="1" x14ac:dyDescent="0.25">
      <c r="E13" s="2" t="s">
        <v>75</v>
      </c>
      <c r="F13" s="40">
        <v>3238723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6990714</v>
      </c>
      <c r="G14" s="40"/>
      <c r="I14" s="2" t="s">
        <v>91</v>
      </c>
      <c r="J14" s="41">
        <v>1</v>
      </c>
      <c r="K14" s="41"/>
    </row>
    <row r="15" spans="1:11" ht="15" customHeight="1" x14ac:dyDescent="0.25">
      <c r="E15" s="2" t="s">
        <v>76</v>
      </c>
      <c r="F15" s="40"/>
      <c r="G15" s="40"/>
      <c r="I15" s="2" t="s">
        <v>92</v>
      </c>
      <c r="J15" s="57">
        <v>2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24022024</v>
      </c>
      <c r="C18" s="60"/>
      <c r="E18" s="2" t="s">
        <v>28</v>
      </c>
      <c r="F18" s="61">
        <v>2032024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930</v>
      </c>
      <c r="C19" s="18">
        <v>100</v>
      </c>
      <c r="E19" s="2" t="s">
        <v>41</v>
      </c>
      <c r="F19" s="15">
        <v>530</v>
      </c>
      <c r="G19" s="16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12</v>
      </c>
      <c r="C20" s="54"/>
      <c r="D20" s="3"/>
      <c r="E20" s="2" t="s">
        <v>21</v>
      </c>
      <c r="F20" s="59">
        <v>2434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202050</v>
      </c>
      <c r="C21" s="54"/>
      <c r="D21" s="3"/>
      <c r="E21" s="2" t="s">
        <v>134</v>
      </c>
      <c r="F21" s="59">
        <v>204451</v>
      </c>
      <c r="G21" s="59"/>
      <c r="H21" s="3"/>
      <c r="I21" s="2" t="s">
        <v>31</v>
      </c>
      <c r="J21" s="69"/>
      <c r="K21" s="69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493</v>
      </c>
      <c r="C25" s="66"/>
      <c r="D25" s="3"/>
      <c r="E25" s="2" t="s">
        <v>17</v>
      </c>
      <c r="F25" s="67">
        <v>486</v>
      </c>
      <c r="G25" s="67"/>
      <c r="H25" s="3"/>
      <c r="I25" s="2" t="s">
        <v>32</v>
      </c>
      <c r="J25" s="69"/>
      <c r="K25" s="69"/>
    </row>
    <row r="26" spans="1:11" ht="15" customHeight="1" x14ac:dyDescent="0.25">
      <c r="A26" s="2" t="s">
        <v>25</v>
      </c>
      <c r="B26" s="68">
        <v>146197.70000000001</v>
      </c>
      <c r="C26" s="68"/>
      <c r="D26" s="3"/>
      <c r="E26" s="2" t="s">
        <v>25</v>
      </c>
      <c r="F26" s="67">
        <v>145247.20000000001</v>
      </c>
      <c r="G26" s="67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3" t="s">
        <v>107</v>
      </c>
      <c r="B28" s="74"/>
      <c r="C28" s="74"/>
      <c r="D28" s="74"/>
      <c r="E28" s="74"/>
      <c r="F28" s="74"/>
      <c r="G28" s="74"/>
      <c r="H28" s="74"/>
      <c r="I28" s="74"/>
      <c r="J28" s="74"/>
      <c r="K28" s="75"/>
    </row>
    <row r="29" spans="1:11" ht="15" customHeight="1" x14ac:dyDescent="0.25">
      <c r="A29" s="22" t="s">
        <v>42</v>
      </c>
      <c r="B29" s="70">
        <f>IF(F20="","",F20-B20)</f>
        <v>2422</v>
      </c>
      <c r="C29" s="70"/>
      <c r="E29" s="22" t="s">
        <v>146</v>
      </c>
      <c r="F29" s="71">
        <f>IF(B29="","",DATA!V21)</f>
        <v>161.99999999982538</v>
      </c>
      <c r="G29" s="71"/>
      <c r="H29" s="33"/>
      <c r="I29" s="22" t="s">
        <v>43</v>
      </c>
      <c r="J29" s="72">
        <f>IFERROR(ROUND(B29/F29,1),"")</f>
        <v>15</v>
      </c>
      <c r="K29" s="72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7</v>
      </c>
      <c r="G30" s="64"/>
      <c r="I30" s="32" t="s">
        <v>142</v>
      </c>
      <c r="J30" s="65">
        <f>IF(DATA!AD20&lt;&gt;"",DATA!AD20,DATA!AD21)</f>
        <v>950.5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6" t="s">
        <v>51</v>
      </c>
      <c r="P1" s="76"/>
      <c r="Q1" s="76"/>
      <c r="R1" s="25" t="s">
        <v>149</v>
      </c>
      <c r="S1" s="27" t="s">
        <v>151</v>
      </c>
      <c r="T1" s="4" t="s">
        <v>150</v>
      </c>
      <c r="U1" s="25" t="s">
        <v>52</v>
      </c>
      <c r="V1" s="76" t="s">
        <v>58</v>
      </c>
      <c r="W1" s="76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6"/>
      <c r="P17" s="76"/>
      <c r="Q17" s="27"/>
      <c r="R17" s="4"/>
      <c r="S17" s="27"/>
      <c r="T17" s="76"/>
      <c r="U17" s="76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6" t="s">
        <v>51</v>
      </c>
      <c r="P18" s="76"/>
      <c r="Q18" s="76"/>
      <c r="R18" s="27" t="s">
        <v>149</v>
      </c>
      <c r="S18" s="27" t="s">
        <v>151</v>
      </c>
      <c r="T18" s="4" t="s">
        <v>150</v>
      </c>
      <c r="U18" s="27" t="s">
        <v>52</v>
      </c>
      <c r="V18" s="76" t="s">
        <v>58</v>
      </c>
      <c r="W18" s="76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24</v>
      </c>
      <c r="K20" s="6" t="str">
        <f>IF(LEN(ARRIVAL!B18)=8,IFERROR(MID(ARRIVAL!B18,3,2),""),IFERROR(MID(ARRIVAL!B18,2,2),""))</f>
        <v>02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9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0.39583333333333331</v>
      </c>
      <c r="S20" s="8">
        <f t="shared" ref="S20:S23" si="5">IFERROR(TIME(ABS(O20),ABS(P20),0),"")</f>
        <v>4.1666666666666664E-2</v>
      </c>
      <c r="T20" s="9">
        <f>IFERROR(DATE(L20,K20,J20)+R20,"")</f>
        <v>45346.395833333336</v>
      </c>
      <c r="U20" s="35">
        <f t="shared" ref="U20:U23" si="6">IFERROR(T20-Q20,"")</f>
        <v>45346.354166666672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493</v>
      </c>
      <c r="AA20" s="31">
        <f>IFERROR(ARRIVAL!B26,"")</f>
        <v>146197.70000000001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</v>
      </c>
      <c r="K21" s="6" t="str">
        <f>IF(LEN(ARRIVAL!F18)=8,IFERROR(MID(ARRIVAL!F18,3,2),""),IFERROR(MID(ARRIVAL!F18,2,2),""))</f>
        <v>03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5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0.22916666666666666</v>
      </c>
      <c r="S21" s="8">
        <f t="shared" si="5"/>
        <v>0.125</v>
      </c>
      <c r="T21" s="9">
        <f>IFERROR(DATE(L21,K21,J21)+R21,"")</f>
        <v>45353.229166666664</v>
      </c>
      <c r="U21" s="35">
        <f t="shared" si="6"/>
        <v>45353.104166666664</v>
      </c>
      <c r="V21" s="11">
        <f>IFERROR(((24*(U21-U20))),"")</f>
        <v>161.99999999982538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486</v>
      </c>
      <c r="AA21" s="31">
        <f>IFERROR(ARRIVAL!F26,"")</f>
        <v>145247.20000000001</v>
      </c>
      <c r="AB21" s="31">
        <f>IF($U$21&lt;&gt;"",(X20+Y20)-(X21+Y21),"")</f>
        <v>0</v>
      </c>
      <c r="AC21" s="31">
        <f>IF($U$21&lt;&gt;"",Z20-Z21,"")</f>
        <v>7</v>
      </c>
      <c r="AD21" s="31">
        <f>IF($U$21&lt;&gt;"",AA20-AA21,"")</f>
        <v>950.5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2024-03-02T08:30:43Z</dcterms:modified>
</cp:coreProperties>
</file>