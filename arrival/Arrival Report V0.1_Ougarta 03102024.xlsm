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xr:revisionPtr revIDLastSave="0" documentId="13_ncr:1_{DC33B41A-71F1-487A-B42E-45ADF3025780}" xr6:coauthVersionLast="45" xr6:coauthVersionMax="45" xr10:uidLastSave="{00000000-0000-0000-0000-000000000000}"/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-120" yWindow="-120" windowWidth="24240" windowHeight="13140" xr2:uid="{00000000-000D-0000-FFFF-FFFF00000000}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/>
  <c r="Q23" i="3"/>
  <c r="R23" i="3"/>
  <c r="T23" i="3"/>
  <c r="S22" i="3"/>
  <c r="Q22" i="3"/>
  <c r="R22" i="3"/>
  <c r="T22" i="3"/>
  <c r="S21" i="3"/>
  <c r="Q21" i="3"/>
  <c r="R21" i="3"/>
  <c r="T21" i="3"/>
  <c r="S20" i="3"/>
  <c r="Q20" i="3"/>
  <c r="R20" i="3"/>
  <c r="T20" i="3"/>
  <c r="U21" i="3"/>
  <c r="AD21" i="3"/>
  <c r="U20" i="3"/>
  <c r="U23" i="3"/>
  <c r="U22" i="3"/>
  <c r="V21" i="3"/>
  <c r="AB21" i="3"/>
  <c r="AC21" i="3"/>
  <c r="V23" i="3"/>
  <c r="AA4" i="3"/>
  <c r="Z4" i="3"/>
  <c r="Y4" i="3"/>
  <c r="X4" i="3"/>
  <c r="AA3" i="3"/>
  <c r="Z3" i="3"/>
  <c r="Y3" i="3"/>
  <c r="X3" i="3"/>
  <c r="AA2" i="3"/>
  <c r="Z2" i="3"/>
  <c r="Y2" i="3"/>
  <c r="X2" i="3"/>
  <c r="B29" i="1"/>
  <c r="F29" i="1"/>
  <c r="S7" i="3"/>
  <c r="Q7" i="3"/>
  <c r="S5" i="3"/>
  <c r="Q5" i="3"/>
  <c r="R5" i="3"/>
  <c r="S6" i="3"/>
  <c r="Q6" i="3"/>
  <c r="T5" i="3"/>
  <c r="U5" i="3"/>
  <c r="R6" i="3"/>
  <c r="T6" i="3"/>
  <c r="U6" i="3"/>
  <c r="R7" i="3"/>
  <c r="T7" i="3"/>
  <c r="U7" i="3"/>
  <c r="S3" i="3"/>
  <c r="Q3" i="3"/>
  <c r="R3" i="3"/>
  <c r="S2" i="3"/>
  <c r="Q2" i="3"/>
  <c r="S4" i="3"/>
  <c r="Q4" i="3"/>
  <c r="R2" i="3"/>
  <c r="T2" i="3"/>
  <c r="U2" i="3"/>
  <c r="R4" i="3"/>
  <c r="T4" i="3"/>
  <c r="U4" i="3"/>
  <c r="T3" i="3"/>
  <c r="U3" i="3"/>
  <c r="V6" i="3"/>
  <c r="J30" i="1"/>
  <c r="F30" i="1"/>
  <c r="B30" i="1"/>
  <c r="AD3" i="3"/>
  <c r="AC3" i="3"/>
  <c r="AB3" i="3"/>
  <c r="AD4" i="3"/>
  <c r="J30" i="3"/>
  <c r="AB4" i="3"/>
  <c r="AC4" i="3"/>
  <c r="V4" i="3"/>
  <c r="J29" i="1"/>
  <c r="V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Kamel BENRABAH</author>
  </authors>
  <commentList>
    <comment ref="E2" authorId="0" shapeId="0" xr:uid="{00000000-0006-0000-0000-000001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 xr:uid="{00000000-0006-0000-0000-000002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 xr:uid="{00000000-0006-0000-0000-000003000000}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 xr:uid="{00000000-0006-0000-0000-000004000000}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 xr:uid="{00000000-0006-0000-0000-000005000000}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 xr:uid="{00000000-0006-0000-0000-000006000000}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 xr:uid="{00000000-0006-0000-0000-000007000000}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 xr:uid="{00000000-0006-0000-0000-000008000000}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 xr:uid="{00000000-0006-0000-0000-000009000000}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 xr:uid="{00000000-0006-0000-0000-00000A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 xr:uid="{00000000-0006-0000-0000-00000B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 xr:uid="{00000000-0006-0000-0000-00000C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 xr:uid="{00000000-0006-0000-0000-00000D000000}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 xr:uid="{00000000-0006-0000-0000-00000E000000}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 xr:uid="{00000000-0006-0000-0000-00000F000000}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 xr:uid="{00000000-0006-0000-0000-000010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 xr:uid="{00000000-0006-0000-0000-000011000000}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 xr:uid="{00000000-0006-0000-0000-000012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 xr:uid="{00000000-0006-0000-0000-000013000000}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 xr:uid="{00000000-0006-0000-0000-000014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 xr:uid="{00000000-0006-0000-0000-000015000000}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 xr:uid="{00000000-0006-0000-0000-000016000000}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 xr:uid="{00000000-0006-0000-0000-000017000000}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 xr:uid="{00000000-0006-0000-0000-000018000000}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 xr:uid="{00000000-0006-0000-0000-000019000000}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 xr:uid="{00000000-0006-0000-0000-00001A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 xr:uid="{00000000-0006-0000-0000-00001B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 xr:uid="{00000000-0006-0000-0000-00001C000000}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 xr:uid="{00000000-0006-0000-0000-00001D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 xr:uid="{00000000-0006-0000-0000-00001E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 xr:uid="{00000000-0006-0000-0000-00001F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 xr:uid="{00000000-0006-0000-0000-000020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 xr:uid="{00000000-0006-0000-0000-000021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 xr:uid="{00000000-0006-0000-0000-000022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 xr:uid="{00000000-0006-0000-0000-000023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 xr:uid="{00000000-0006-0000-0000-000024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 xr:uid="{00000000-0006-0000-0000-000025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 xr:uid="{00000000-0006-0000-0000-000026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 xr:uid="{00000000-0006-0000-0000-000027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 xr:uid="{00000000-0006-0000-0000-000028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 xr:uid="{00000000-0006-0000-0000-000029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 xr:uid="{00000000-0006-0000-0000-00002A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 xr:uid="{00000000-0006-0000-0000-00002B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 xr:uid="{00000000-0006-0000-0000-00002C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 xr:uid="{00000000-0006-0000-0000-00002D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 xr:uid="{00000000-0006-0000-0000-00002E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 xr:uid="{00000000-0006-0000-0000-00002F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 xr:uid="{00000000-0006-0000-0000-000030000000}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<sst xmlns="http://schemas.openxmlformats.org/spreadsheetml/2006/main" count="211" uniqueCount="156">
  <si>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</si>
  <si>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</si>
  <si>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</si>
  <si>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</si>
  <si>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</si>
  <si>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</si>
  <si>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</si>
  <si>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</si>
  <si>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</si>
  <si>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</si>
  <si>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</si>
  <si>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</si>
  <si>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</si>
  <si>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</si>
  <si>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</si>
  <si>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</si>
  <si>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</si>
  <si>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</si>
  <si>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</si>
  <si>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</si>
  <si>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</si>
  <si>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</si>
  <si>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</si>
  <si>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</si>
  <si>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</si>
  <si>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</si>
  <si>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</si>
  <si>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</si>
  <si>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</si>
  <si>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</si>
  <si>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</si>
  <si>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</si>
  <si>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</si>
  <si>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</si>
  <si>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</si>
  <si>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</si>
  <si>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</si>
  <si>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</si>
  <si>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</si>
  <si>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</si>
  <si>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</si>
  <si>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</si>
  <si>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</si>
  <si>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</si>
  <si>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</si>
  <si>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</si>
  <si>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</si>
  <si>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</si>
  <si>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</si>
  <si>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</si>
  <si>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</si>
  <si>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</si>
  <si>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</si>
  <si>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</si>
  <si>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</si>
  <si>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</si>
  <si>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</si>
  <si>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</si>
  <si>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</si>
  <si>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</si>
  <si>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</si>
  <si>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</si>
  <si>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</si>
  <si>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</si>
  <si>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</si>
  <si>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</si>
  <si>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</si>
  <si>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</si>
  <si>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</si>
  <si>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</si>
  <si>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</si>
  <si>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</si>
  <si>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</si>
  <si>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</si>
  <si>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</si>
  <si>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</si>
  <si>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</si>
  <si>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</si>
  <si>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</si>
  <si>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</si>
  <si>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</si>
  <si>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</si>
  <si>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</si>
  <si>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</si>
  <si>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</si>
  <si>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</si>
  <si>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</si>
  <si>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</si>
  <si>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</si>
  <si>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</si>
  <si>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</si>
  <si>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</si>
  <si>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</si>
  <si>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</si>
  <si>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</si>
  <si>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</si>
  <si>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</si>
  <si>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</si>
  <si>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</si>
  <si>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</si>
  <si>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</si>
  <si>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</si>
  <si>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</si>
  <si>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</si>
  <si>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</si>
  <si>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</si>
  <si>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</si>
  <si>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</si>
  <si>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</si>
  <si>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</si>
  <si>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</si>
  <si>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</si>
  <si>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</si>
  <si>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</si>
  <si>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</si>
  <si>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</si>
  <si>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</si>
  <si>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</si>
  <si>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</si>
  <si>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</si>
  <si>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</si>
  <si>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</si>
  <si>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</si>
  <si>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</si>
  <si>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</si>
  <si>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</si>
  <si>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</si>
  <si>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</si>
  <si>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</si>
  <si>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</si>
  <si>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</si>
  <si>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</si>
  <si>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</si>
  <si>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</si>
  <si>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</si>
  <si>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</si>
  <si>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</si>
  <si>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</si>
  <si>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</si>
  <si>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</si>
  <si>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</si>
  <si>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</si>
  <si>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</si>
  <si>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</si>
  <si>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</si>
  <si>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</si>
  <si>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</si>
  <si>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</si>
  <si>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</si>
  <si>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</si>
  <si>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</si>
  <si>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</si>
  <si>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</si>
  <si>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>039/24</t>
  </si>
  <si>
    <t>ESBCN</t>
  </si>
  <si>
    <t>W/3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</si>
</sst>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K61"/>
  <sheetViews>
    <sheetView tabSelected="1" view="pageBreakPreview" topLeftCell="A10" zoomScale="130" zoomScaleNormal="130" zoomScaleSheetLayoutView="130" workbookViewId="0">
      <selection activeCell="F15" sqref="F15:G15"/>
    </sheetView>
  </sheetViews>
  <sheetFormatPr defaultColWidth="11.42578125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</row>
    <row r="2" spans="1:11" ht="20.100000000000001" customHeight="1" x14ac:dyDescent="0.25">
      <c r="A2" s="76" t="s">
        <v>1</v>
      </c>
      <c r="B2" s="76"/>
      <c r="C2" s="76"/>
      <c r="E2" s="15" t="s">
        <v>34</v>
      </c>
      <c r="F2" s="77" t="s">
        <v>12</v>
      </c>
      <c r="G2" s="77"/>
      <c r="I2" s="16" t="s">
        <v>53</v>
      </c>
      <c r="J2" s="65" t="s">
        <v>152</v>
      </c>
      <c r="K2" s="65"/>
    </row>
    <row r="3" spans="1:11" ht="8.1" customHeight="1" x14ac:dyDescent="0.25">
      <c r="A3" s="75"/>
      <c r="B3" s="75"/>
      <c r="C3" s="75"/>
      <c r="D3" s="75"/>
      <c r="E3" s="75"/>
      <c r="F3" s="75"/>
      <c r="G3" s="75"/>
      <c r="H3" s="75"/>
      <c r="I3" s="75"/>
      <c r="J3" s="75"/>
      <c r="K3" s="75"/>
    </row>
    <row r="4" spans="1:11" ht="15" customHeight="1" x14ac:dyDescent="0.25">
      <c r="A4" s="43" t="s">
        <v>93</v>
      </c>
      <c r="B4" s="43"/>
      <c r="C4" s="43"/>
      <c r="E4" s="72" t="s">
        <v>136</v>
      </c>
      <c r="F4" s="73"/>
      <c r="G4" s="74"/>
      <c r="I4" s="43" t="s">
        <v>68</v>
      </c>
      <c r="J4" s="43"/>
      <c r="K4" s="43"/>
    </row>
    <row r="5" spans="1:11" ht="15" customHeight="1" x14ac:dyDescent="0.25">
      <c r="A5" s="2" t="s">
        <v>79</v>
      </c>
      <c r="B5" s="65" t="s">
        <v>109</v>
      </c>
      <c r="C5" s="65"/>
      <c r="E5" s="2" t="s">
        <v>40</v>
      </c>
      <c r="F5" s="66" t="s">
        <v>155</v>
      </c>
      <c r="G5" s="67"/>
      <c r="I5" s="2" t="s">
        <v>23</v>
      </c>
      <c r="J5" s="54">
        <v>1107</v>
      </c>
      <c r="K5" s="54"/>
    </row>
    <row r="6" spans="1:11" ht="15" customHeight="1" x14ac:dyDescent="0.25">
      <c r="A6" s="2" t="s">
        <v>78</v>
      </c>
      <c r="B6" s="65" t="s">
        <v>153</v>
      </c>
      <c r="C6" s="65"/>
      <c r="E6" s="2" t="s">
        <v>29</v>
      </c>
      <c r="F6" s="68">
        <v>1</v>
      </c>
      <c r="G6" s="69"/>
      <c r="I6" s="2" t="s">
        <v>24</v>
      </c>
      <c r="J6" s="54">
        <v>0</v>
      </c>
      <c r="K6" s="54"/>
    </row>
    <row r="7" spans="1:11" ht="15" customHeight="1" x14ac:dyDescent="0.25">
      <c r="A7" s="2" t="s">
        <v>77</v>
      </c>
      <c r="B7" s="65" t="s">
        <v>154</v>
      </c>
      <c r="C7" s="65"/>
      <c r="E7" s="2" t="s">
        <v>36</v>
      </c>
      <c r="F7" s="70">
        <v>12</v>
      </c>
      <c r="G7" s="71"/>
      <c r="I7" s="2" t="s">
        <v>17</v>
      </c>
      <c r="J7" s="54">
        <v>405.6</v>
      </c>
      <c r="K7" s="54"/>
    </row>
    <row r="8" spans="1:11" ht="15" customHeight="1" x14ac:dyDescent="0.25">
      <c r="A8" s="2" t="s">
        <v>87</v>
      </c>
      <c r="B8" s="65" t="s">
        <v>89</v>
      </c>
      <c r="C8" s="65"/>
      <c r="E8" s="43" t="s">
        <v>69</v>
      </c>
      <c r="F8" s="43"/>
      <c r="G8" s="43"/>
      <c r="I8" s="2" t="s">
        <v>25</v>
      </c>
      <c r="J8" s="53">
        <v>164561</v>
      </c>
      <c r="K8" s="53"/>
    </row>
    <row r="9" spans="1:11" ht="15" customHeight="1" x14ac:dyDescent="0.25">
      <c r="A9" s="2" t="s">
        <v>66</v>
      </c>
      <c r="B9" s="60">
        <v>3102024</v>
      </c>
      <c r="C9" s="60"/>
      <c r="E9" s="2" t="s">
        <v>70</v>
      </c>
      <c r="F9" s="55"/>
      <c r="G9" s="55"/>
      <c r="I9" s="2" t="s">
        <v>39</v>
      </c>
      <c r="J9" s="61">
        <v>68401</v>
      </c>
      <c r="K9" s="61"/>
    </row>
    <row r="10" spans="1:11" ht="15" customHeight="1" x14ac:dyDescent="0.25">
      <c r="A10" s="2" t="s">
        <v>67</v>
      </c>
      <c r="B10" s="12">
        <v>1045</v>
      </c>
      <c r="C10" s="13">
        <v>200</v>
      </c>
      <c r="E10" s="2" t="s">
        <v>72</v>
      </c>
      <c r="F10" s="55">
        <v>5355163</v>
      </c>
      <c r="G10" s="55"/>
      <c r="I10" s="43" t="s">
        <v>56</v>
      </c>
      <c r="J10" s="43"/>
      <c r="K10" s="43"/>
    </row>
    <row r="11" spans="1:11" ht="15" customHeight="1" x14ac:dyDescent="0.25">
      <c r="A11" s="2" t="s">
        <v>20</v>
      </c>
      <c r="B11" s="62">
        <v>495</v>
      </c>
      <c r="C11" s="62"/>
      <c r="E11" s="2" t="s">
        <v>73</v>
      </c>
      <c r="F11" s="55">
        <v>7643614</v>
      </c>
      <c r="G11" s="55"/>
      <c r="I11" s="2" t="s">
        <v>37</v>
      </c>
      <c r="J11" s="55"/>
      <c r="K11" s="55"/>
    </row>
    <row r="12" spans="1:11" ht="15" customHeight="1" x14ac:dyDescent="0.25">
      <c r="A12" s="2" t="s">
        <v>38</v>
      </c>
      <c r="B12" s="62">
        <v>256629</v>
      </c>
      <c r="C12" s="62"/>
      <c r="E12" s="2" t="s">
        <v>74</v>
      </c>
      <c r="F12" s="55">
        <v>7223708</v>
      </c>
      <c r="G12" s="55"/>
      <c r="I12" s="2" t="s">
        <v>35</v>
      </c>
      <c r="J12" s="55"/>
      <c r="K12" s="55"/>
    </row>
    <row r="13" spans="1:11" ht="15" customHeight="1" x14ac:dyDescent="0.25">
      <c r="E13" s="2" t="s">
        <v>75</v>
      </c>
      <c r="F13" s="55">
        <v>5369131</v>
      </c>
      <c r="G13" s="55"/>
      <c r="I13" s="43" t="s">
        <v>96</v>
      </c>
      <c r="J13" s="43"/>
      <c r="K13" s="43"/>
    </row>
    <row r="14" spans="1:11" ht="15" customHeight="1" x14ac:dyDescent="0.25">
      <c r="E14" s="2" t="s">
        <v>71</v>
      </c>
      <c r="F14" s="55">
        <v>9515453</v>
      </c>
      <c r="G14" s="55"/>
      <c r="I14" s="2" t="s">
        <v>91</v>
      </c>
      <c r="J14" s="62">
        <v>0</v>
      </c>
      <c r="K14" s="62"/>
    </row>
    <row r="15" spans="1:11" ht="15" customHeight="1" x14ac:dyDescent="0.25">
      <c r="E15" s="2" t="s">
        <v>76</v>
      </c>
      <c r="F15" s="55">
        <v>1266498</v>
      </c>
      <c r="G15" s="55"/>
      <c r="I15" s="2" t="s">
        <v>92</v>
      </c>
      <c r="J15" s="63">
        <v>0</v>
      </c>
      <c r="K15" s="64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3" t="s">
        <v>94</v>
      </c>
      <c r="B17" s="43"/>
      <c r="C17" s="43"/>
      <c r="E17" s="43" t="s">
        <v>95</v>
      </c>
      <c r="F17" s="43"/>
      <c r="G17" s="43"/>
      <c r="I17" s="43" t="s">
        <v>54</v>
      </c>
      <c r="J17" s="43"/>
      <c r="K17" s="43"/>
    </row>
    <row r="18" spans="1:11" ht="15" customHeight="1" x14ac:dyDescent="0.25">
      <c r="A18" s="2" t="s">
        <v>16</v>
      </c>
      <c r="B18" s="58">
        <v>1102024</v>
      </c>
      <c r="C18" s="58"/>
      <c r="E18" s="2" t="s">
        <v>28</v>
      </c>
      <c r="F18" s="56">
        <v>2102024</v>
      </c>
      <c r="G18" s="57"/>
      <c r="I18" s="2" t="s">
        <v>0</v>
      </c>
      <c r="J18" s="59"/>
      <c r="K18" s="59"/>
    </row>
    <row r="19" spans="1:11" ht="15" customHeight="1" x14ac:dyDescent="0.25">
      <c r="A19" s="2" t="s">
        <v>41</v>
      </c>
      <c r="B19" s="34">
        <v>1830</v>
      </c>
      <c r="C19" s="35">
        <v>100</v>
      </c>
      <c r="E19" s="2" t="s">
        <v>41</v>
      </c>
      <c r="F19" s="32">
        <v>2300</v>
      </c>
      <c r="G19" s="33">
        <v>200</v>
      </c>
      <c r="I19" s="2" t="s">
        <v>30</v>
      </c>
      <c r="J19" s="44"/>
      <c r="K19" s="44"/>
    </row>
    <row r="20" spans="1:11" ht="15" customHeight="1" x14ac:dyDescent="0.25">
      <c r="A20" s="2" t="s">
        <v>22</v>
      </c>
      <c r="B20" s="39">
        <v>8</v>
      </c>
      <c r="C20" s="39"/>
      <c r="D20" s="3"/>
      <c r="E20" s="2" t="s">
        <v>21</v>
      </c>
      <c r="F20" s="36">
        <v>453</v>
      </c>
      <c r="G20" s="36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39">
        <v>256152</v>
      </c>
      <c r="C21" s="39"/>
      <c r="D21" s="3"/>
      <c r="E21" s="2" t="s">
        <v>134</v>
      </c>
      <c r="F21" s="36">
        <v>256586</v>
      </c>
      <c r="G21" s="36"/>
      <c r="H21" s="3"/>
      <c r="I21" s="2" t="s">
        <v>31</v>
      </c>
      <c r="J21" s="42"/>
      <c r="K21" s="42"/>
    </row>
    <row r="22" spans="1:11" ht="15" customHeight="1" x14ac:dyDescent="0.25">
      <c r="A22" s="43" t="s">
        <v>26</v>
      </c>
      <c r="B22" s="43"/>
      <c r="C22" s="43"/>
      <c r="D22" s="3"/>
      <c r="E22" s="43" t="s">
        <v>27</v>
      </c>
      <c r="F22" s="43"/>
      <c r="G22" s="43"/>
      <c r="H22" s="3"/>
      <c r="I22" s="43" t="s">
        <v>55</v>
      </c>
      <c r="J22" s="43"/>
      <c r="K22" s="43"/>
    </row>
    <row r="23" spans="1:11" ht="15" customHeight="1" x14ac:dyDescent="0.25">
      <c r="A23" s="2" t="s">
        <v>23</v>
      </c>
      <c r="B23" s="41">
        <v>1107</v>
      </c>
      <c r="C23" s="41"/>
      <c r="D23" s="3"/>
      <c r="E23" s="2" t="s">
        <v>23</v>
      </c>
      <c r="F23" s="38">
        <v>1107</v>
      </c>
      <c r="G23" s="38"/>
      <c r="H23" s="3"/>
      <c r="I23" s="2" t="s">
        <v>33</v>
      </c>
      <c r="J23" s="44"/>
      <c r="K23" s="44"/>
    </row>
    <row r="24" spans="1:11" ht="15" customHeight="1" x14ac:dyDescent="0.25">
      <c r="A24" s="2" t="s">
        <v>24</v>
      </c>
      <c r="B24" s="41">
        <v>0</v>
      </c>
      <c r="C24" s="41"/>
      <c r="D24" s="3"/>
      <c r="E24" s="2" t="s">
        <v>24</v>
      </c>
      <c r="F24" s="38">
        <v>0</v>
      </c>
      <c r="G24" s="38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41">
        <v>408.5</v>
      </c>
      <c r="C25" s="41"/>
      <c r="D25" s="3"/>
      <c r="E25" s="2" t="s">
        <v>17</v>
      </c>
      <c r="F25" s="38">
        <v>406.6</v>
      </c>
      <c r="G25" s="38"/>
      <c r="H25" s="3"/>
      <c r="I25" s="2" t="s">
        <v>32</v>
      </c>
      <c r="J25" s="42"/>
      <c r="K25" s="42"/>
    </row>
    <row r="26" spans="1:11" ht="15" customHeight="1" x14ac:dyDescent="0.25">
      <c r="A26" s="2" t="s">
        <v>25</v>
      </c>
      <c r="B26" s="40">
        <v>164878</v>
      </c>
      <c r="C26" s="40"/>
      <c r="D26" s="3"/>
      <c r="E26" s="2" t="s">
        <v>25</v>
      </c>
      <c r="F26" s="37">
        <v>164670</v>
      </c>
      <c r="G26" s="37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50" t="s">
        <v>107</v>
      </c>
      <c r="B28" s="51"/>
      <c r="C28" s="51"/>
      <c r="D28" s="51"/>
      <c r="E28" s="51"/>
      <c r="F28" s="51"/>
      <c r="G28" s="51"/>
      <c r="H28" s="51"/>
      <c r="I28" s="51"/>
      <c r="J28" s="51"/>
      <c r="K28" s="52"/>
    </row>
    <row r="29" spans="1:11" ht="15" customHeight="1" x14ac:dyDescent="0.25">
      <c r="A29" s="18" t="s">
        <v>42</v>
      </c>
      <c r="B29" s="47">
        <f>IF(F20="","",F20-B20)</f>
        <v>445</v>
      </c>
      <c r="C29" s="47"/>
      <c r="E29" s="18" t="s">
        <v>146</v>
      </c>
      <c r="F29" s="48">
        <f>IF(B29="","",DATA!V21)</f>
        <v>27.499999999883585</v>
      </c>
      <c r="G29" s="48"/>
      <c r="H29" s="29"/>
      <c r="I29" s="18" t="s">
        <v>43</v>
      </c>
      <c r="J29" s="49">
        <f>IFERROR(ROUND(B29/F29,1),"")</f>
        <v>16.2</v>
      </c>
      <c r="K29" s="49"/>
    </row>
    <row r="30" spans="1:11" s="22" customFormat="1" ht="15" customHeight="1" x14ac:dyDescent="0.25">
      <c r="A30" s="28" t="s">
        <v>140</v>
      </c>
      <c r="B30" s="45">
        <f>IF(DATA!AB20&lt;&gt;"",DATA!AB20,DATA!AB21)</f>
        <v>0</v>
      </c>
      <c r="C30" s="45"/>
      <c r="E30" s="28" t="s">
        <v>141</v>
      </c>
      <c r="F30" s="45">
        <f>IF(DATA!AC20&lt;&gt;"",DATA!AC20,DATA!AC21)</f>
        <v>1.8999999999999773</v>
      </c>
      <c r="G30" s="45"/>
      <c r="I30" s="28" t="s">
        <v>142</v>
      </c>
      <c r="J30" s="46">
        <f>IF(DATA!AD20&lt;&gt;"",DATA!AD20,DATA!AD21)</f>
        <v>208</v>
      </c>
      <c r="K30" s="46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A17:C17"/>
    <mergeCell ref="E17:G17"/>
    <mergeCell ref="F13:G13"/>
    <mergeCell ref="F18:G18"/>
    <mergeCell ref="B18:C18"/>
    <mergeCell ref="J8:K8"/>
    <mergeCell ref="I4:K4"/>
    <mergeCell ref="J5:K5"/>
    <mergeCell ref="J6:K6"/>
    <mergeCell ref="J7:K7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B20:C20"/>
    <mergeCell ref="B21:C21"/>
    <mergeCell ref="B26:C26"/>
    <mergeCell ref="B25:C25"/>
    <mergeCell ref="B24:C24"/>
    <mergeCell ref="B23:C23"/>
    <mergeCell ref="F20:G20"/>
    <mergeCell ref="F21:G21"/>
    <mergeCell ref="F26:G26"/>
    <mergeCell ref="F25:G25"/>
    <mergeCell ref="F24:G24"/>
    <mergeCell ref="F23:G23"/>
  </mergeCells>
  <dataValidations count="1">
    <dataValidation type="textLength" operator="equal" allowBlank="1" showInputMessage="1" showErrorMessage="1" sqref="J18:K18 B7:C7" xr:uid="{00000000-0002-0000-0000-000000000000}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8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00000000-0002-0000-0000-000001000000}">
          <x14:formula1>
            <xm:f>DATA!$B$1:$B$14</xm:f>
          </x14:formula1>
          <xm:sqref>F2:G2</xm:sqref>
        </x14:dataValidation>
        <x14:dataValidation type="list" showInputMessage="1" showErrorMessage="1" xr:uid="{00000000-0002-0000-0000-000002000000}">
          <x14:formula1>
            <xm:f>DATA!$F$10:$F$15</xm:f>
          </x14:formula1>
          <xm:sqref>B5:C5</xm:sqref>
        </x14:dataValidation>
        <x14:dataValidation type="list" operator="equal" showInputMessage="1" showErrorMessage="1" xr:uid="{00000000-0002-0000-0000-000003000000}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5"/>
  <sheetViews>
    <sheetView topLeftCell="G1" zoomScaleNormal="100" workbookViewId="0">
      <selection activeCell="V23" sqref="V23"/>
    </sheetView>
  </sheetViews>
  <sheetFormatPr defaultColWidth="11.42578125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8" t="s">
        <v>51</v>
      </c>
      <c r="P1" s="78"/>
      <c r="Q1" s="78"/>
      <c r="R1" s="21" t="s">
        <v>149</v>
      </c>
      <c r="S1" s="23" t="s">
        <v>151</v>
      </c>
      <c r="T1" s="4" t="s">
        <v>150</v>
      </c>
      <c r="U1" s="21" t="s">
        <v>52</v>
      </c>
      <c r="V1" s="78" t="s">
        <v>58</v>
      </c>
      <c r="W1" s="78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8"/>
      <c r="P17" s="78"/>
      <c r="Q17" s="23"/>
      <c r="R17" s="4"/>
      <c r="S17" s="23"/>
      <c r="T17" s="78"/>
      <c r="U17" s="78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8" t="s">
        <v>51</v>
      </c>
      <c r="P18" s="78"/>
      <c r="Q18" s="78"/>
      <c r="R18" s="23" t="s">
        <v>149</v>
      </c>
      <c r="S18" s="23" t="s">
        <v>151</v>
      </c>
      <c r="T18" s="4" t="s">
        <v>150</v>
      </c>
      <c r="U18" s="23" t="s">
        <v>52</v>
      </c>
      <c r="V18" s="78" t="s">
        <v>58</v>
      </c>
      <c r="W18" s="78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1</v>
      </c>
      <c r="K20" s="6" t="str">
        <f>IF(LEN(ARRIVAL!B18)=8,IFERROR(MID(ARRIVAL!B18,3,2),""),IFERROR(MID(ARRIVAL!B18,2,2),""))</f>
        <v>10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18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0">
        <f>IFERROR(S20*SIGN(O20),"")</f>
        <v>4.1666666666666664E-2</v>
      </c>
      <c r="R20" s="8">
        <f>IFERROR(TIME(M20,N20,0),"")</f>
        <v>0.77083333333333337</v>
      </c>
      <c r="S20" s="8">
        <f t="shared" ref="S20:S23" si="5">IFERROR(TIME(ABS(O20),ABS(P20),0),"")</f>
        <v>4.1666666666666664E-2</v>
      </c>
      <c r="T20" s="9">
        <f>IFERROR(DATE(L20,K20,J20)+R20,"")</f>
        <v>45566.770833333336</v>
      </c>
      <c r="U20" s="31">
        <f t="shared" ref="U20:U23" si="6">IFERROR(T20-Q20,"")</f>
        <v>45566.729166666672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408.5</v>
      </c>
      <c r="AA20" s="27">
        <f>IFERROR(ARRIVAL!B26,"")</f>
        <v>164878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</v>
      </c>
      <c r="K21" s="6" t="str">
        <f>IF(LEN(ARRIVAL!F18)=8,IFERROR(MID(ARRIVAL!F18,3,2),""),IFERROR(MID(ARRIVAL!F18,2,2),""))</f>
        <v>10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23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2</v>
      </c>
      <c r="P21" s="6" t="str">
        <f>IFERROR(RIGHT(ARRIVAL!G19,2),"")</f>
        <v>00</v>
      </c>
      <c r="Q21" s="30">
        <f t="shared" ref="Q21:Q23" si="7">IFERROR(S21*SIGN(O21),"")</f>
        <v>8.3333333333333329E-2</v>
      </c>
      <c r="R21" s="8">
        <f t="shared" ref="R21:R23" si="8">IFERROR(TIME(M21,N21,0),"")</f>
        <v>0.95833333333333337</v>
      </c>
      <c r="S21" s="8">
        <f t="shared" si="5"/>
        <v>8.3333333333333329E-2</v>
      </c>
      <c r="T21" s="9">
        <f>IFERROR(DATE(L21,K21,J21)+R21,"")</f>
        <v>45567.958333333336</v>
      </c>
      <c r="U21" s="31">
        <f t="shared" si="6"/>
        <v>45567.875</v>
      </c>
      <c r="V21" s="11">
        <f>IFERROR(((24*(U21-U20))),"")</f>
        <v>27.499999999883585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406.6</v>
      </c>
      <c r="AA21" s="27">
        <f>IFERROR(ARRIVAL!F26,"")</f>
        <v>164670</v>
      </c>
      <c r="AB21" s="27">
        <f>IF($U$21&lt;&gt;"",(X20+Y20)-(X21+Y21),"")</f>
        <v>0</v>
      </c>
      <c r="AC21" s="27">
        <f>IF($U$21&lt;&gt;"",Z20-Z21,"")</f>
        <v>1.8999999999999773</v>
      </c>
      <c r="AD21" s="27">
        <f>IF($U$21&lt;&gt;"",AA20-AA21,"")</f>
        <v>208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xmlns:xlrd2="http://schemas.microsoft.com/office/spreadsheetml/2017/richdata2"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2023-12-14T20:29:20Z</cp:lastPrinted>
  <dcterms:created xsi:type="dcterms:W3CDTF">2023-11-13T10:14:48Z</dcterms:created>
  <dcterms:modified xsi:type="dcterms:W3CDTF">2024-10-03T09:05:56Z</dcterms:modified>
</cp:coreProperties>
</file>