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3970" windowHeight="906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<sst xmlns="http://schemas.openxmlformats.org/spreadsheetml/2006/main" count="211" uniqueCount="156">
  <si>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</si>
  <si>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</si>
  <si>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</si>
  <si>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</si>
  <si>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</si>
  <si>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</si>
  <si>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</si>
  <si>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</si>
  <si>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</si>
  <si>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</si>
  <si>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</si>
  <si>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</si>
  <si>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</si>
  <si>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</si>
  <si>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</si>
  <si>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</si>
  <si>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</si>
  <si>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</si>
  <si>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</si>
  <si>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</si>
  <si>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</si>
  <si>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</si>
  <si>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</si>
  <si>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</si>
  <si>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</si>
  <si>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</si>
  <si>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</si>
  <si>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</si>
  <si>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</si>
  <si>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</si>
  <si>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</si>
  <si>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</si>
  <si>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</si>
  <si>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</si>
  <si>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</si>
  <si>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</si>
  <si>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</si>
  <si>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</si>
  <si>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</si>
  <si>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</si>
  <si>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</si>
  <si>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</si>
  <si>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</si>
  <si>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</si>
  <si>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</si>
  <si>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</si>
  <si>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</si>
  <si>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</si>
  <si>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</si>
  <si>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</si>
  <si>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</si>
  <si>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</si>
  <si>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</si>
  <si>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</si>
  <si>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</si>
  <si>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</si>
  <si>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</si>
  <si>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</si>
  <si>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</si>
  <si>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</si>
  <si>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</si>
  <si>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</si>
  <si>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</si>
  <si>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</si>
  <si>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</si>
  <si>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</si>
  <si>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</si>
  <si>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</si>
  <si>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</si>
  <si>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</si>
  <si>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</si>
  <si>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</si>
  <si>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</si>
  <si>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</si>
  <si>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</si>
  <si>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</si>
  <si>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</si>
  <si>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</si>
  <si>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</si>
  <si>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</si>
  <si>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</si>
  <si>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</si>
  <si>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</si>
  <si>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</si>
  <si>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</si>
  <si>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</si>
  <si>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</si>
  <si>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</si>
  <si>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</si>
  <si>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</si>
  <si>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</si>
  <si>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</si>
  <si>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</si>
  <si>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</si>
  <si>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</si>
  <si>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</si>
  <si>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</si>
  <si>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</si>
  <si>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</si>
  <si>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</si>
  <si>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</si>
  <si>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</si>
  <si>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</si>
  <si>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</si>
  <si>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</si>
  <si>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</si>
  <si>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</si>
  <si>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</si>
  <si>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</si>
  <si>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</si>
  <si>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</si>
  <si>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</si>
  <si>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</si>
  <si>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</si>
  <si>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</si>
  <si>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</si>
  <si>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</si>
  <si>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</si>
  <si>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</si>
  <si>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</si>
  <si>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</si>
  <si>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</si>
  <si>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</si>
  <si>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</si>
  <si>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</si>
  <si>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</si>
  <si>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</si>
  <si>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</si>
  <si>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</si>
  <si>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</si>
  <si>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</si>
  <si>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</si>
  <si>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</si>
  <si>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</si>
  <si>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</si>
  <si>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</si>
  <si>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</si>
  <si>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</si>
  <si>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</si>
  <si>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</si>
  <si>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</si>
  <si>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</si>
  <si>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</si>
  <si>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</si>
  <si>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</si>
  <si>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</si>
  <si>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</si>
  <si>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</si>
  <si>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</si>
  <si>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</si>
  <si>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</si>
  <si>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</si>
  <si>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</si>
  <si>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005/2024</t>
  </si>
  <si>
    <t>DZAZW</t>
  </si>
  <si>
    <t>N/2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</si>
</sst>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26" zoomScaleNormal="130" zoomScaleSheetLayoutView="126" workbookViewId="0">
      <selection activeCell="B12" sqref="B12:C12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2</v>
      </c>
      <c r="G6" s="46"/>
      <c r="I6" s="2" t="s">
        <v>24</v>
      </c>
      <c r="J6" s="63"/>
      <c r="K6" s="63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0</v>
      </c>
      <c r="G7" s="48"/>
      <c r="I7" s="2" t="s">
        <v>17</v>
      </c>
      <c r="J7" s="63">
        <v>537.29999999999995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2249.1999999999998</v>
      </c>
      <c r="K8" s="62"/>
    </row>
    <row r="9" spans="1:11" ht="15" customHeight="1" x14ac:dyDescent="0.25">
      <c r="A9" s="2" t="s">
        <v>66</v>
      </c>
      <c r="B9" s="55">
        <v>5022024</v>
      </c>
      <c r="C9" s="55"/>
      <c r="E9" s="2" t="s">
        <v>70</v>
      </c>
      <c r="F9" s="40"/>
      <c r="G9" s="40"/>
      <c r="I9" s="2" t="s">
        <v>39</v>
      </c>
      <c r="J9" s="56">
        <v>37117</v>
      </c>
      <c r="K9" s="56"/>
    </row>
    <row r="10" spans="1:11" ht="15" customHeight="1" x14ac:dyDescent="0.25">
      <c r="A10" s="2" t="s">
        <v>67</v>
      </c>
      <c r="B10" s="12">
        <v>1355</v>
      </c>
      <c r="C10" s="13">
        <v>100</v>
      </c>
      <c r="E10" s="2" t="s">
        <v>72</v>
      </c>
      <c r="F10" s="40">
        <v>2869379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2807</v>
      </c>
      <c r="C11" s="41"/>
      <c r="E11" s="2" t="s">
        <v>73</v>
      </c>
      <c r="F11" s="40">
        <v>2340237</v>
      </c>
      <c r="G11" s="40"/>
      <c r="I11" s="2" t="s">
        <v>37</v>
      </c>
      <c r="J11" s="40">
        <v>106195910</v>
      </c>
      <c r="K11" s="40"/>
    </row>
    <row r="12" spans="1:11" ht="15" customHeight="1" x14ac:dyDescent="0.25">
      <c r="A12" s="2" t="s">
        <v>38</v>
      </c>
      <c r="B12" s="41">
        <v>197017</v>
      </c>
      <c r="C12" s="41"/>
      <c r="E12" s="2" t="s">
        <v>74</v>
      </c>
      <c r="F12" s="40">
        <v>1499969</v>
      </c>
      <c r="G12" s="40"/>
      <c r="I12" s="2" t="s">
        <v>35</v>
      </c>
      <c r="J12" s="40">
        <v>106016131</v>
      </c>
      <c r="K12" s="40"/>
    </row>
    <row r="13" spans="1:11" ht="15" customHeight="1" x14ac:dyDescent="0.25">
      <c r="E13" s="2" t="s">
        <v>75</v>
      </c>
      <c r="F13" s="40">
        <v>3131407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6911545</v>
      </c>
      <c r="G14" s="40"/>
      <c r="I14" s="2" t="s">
        <v>91</v>
      </c>
      <c r="J14" s="41">
        <v>6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>
        <v>4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28012024</v>
      </c>
      <c r="C18" s="60"/>
      <c r="E18" s="2" t="s">
        <v>28</v>
      </c>
      <c r="F18" s="61">
        <v>1022024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1100</v>
      </c>
      <c r="C19" s="18">
        <v>300</v>
      </c>
      <c r="E19" s="2" t="s">
        <v>41</v>
      </c>
      <c r="F19" s="15">
        <v>700</v>
      </c>
      <c r="G19" s="16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12</v>
      </c>
      <c r="C20" s="54"/>
      <c r="D20" s="3"/>
      <c r="E20" s="2" t="s">
        <v>21</v>
      </c>
      <c r="F20" s="59">
        <v>1489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194241</v>
      </c>
      <c r="C21" s="54"/>
      <c r="D21" s="3"/>
      <c r="E21" s="2" t="s">
        <v>134</v>
      </c>
      <c r="F21" s="59">
        <v>195710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>
        <v>0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551.29999999999995</v>
      </c>
      <c r="C25" s="66"/>
      <c r="D25" s="3"/>
      <c r="E25" s="2" t="s">
        <v>17</v>
      </c>
      <c r="F25" s="67">
        <v>548.5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3329.2</v>
      </c>
      <c r="C26" s="68"/>
      <c r="D26" s="3"/>
      <c r="E26" s="2" t="s">
        <v>25</v>
      </c>
      <c r="F26" s="69">
        <v>2936.5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1477</v>
      </c>
      <c r="C29" s="71"/>
      <c r="E29" s="22" t="s">
        <v>146</v>
      </c>
      <c r="F29" s="72">
        <f>IF(B29="","",DATA!V21)</f>
        <v>93.999999999941792</v>
      </c>
      <c r="G29" s="72"/>
      <c r="H29" s="33"/>
      <c r="I29" s="22" t="s">
        <v>43</v>
      </c>
      <c r="J29" s="73">
        <f>IFERROR(ROUND(B29/F29,1),"")</f>
        <v>15.7</v>
      </c>
      <c r="K29" s="73"/>
    </row>
    <row r="30" spans="1:11" s="26" customFormat="1" ht="15" customHeight="1" x14ac:dyDescent="0.25">
      <c r="A30" s="32" t="s">
        <v>140</v>
      </c>
      <c r="B30" s="64">
        <f>IF(DATA!AB20&lt;&gt;"",DATA!AB20,DATA!AB21)</f>
        <v>0</v>
      </c>
      <c r="C30" s="64"/>
      <c r="E30" s="32" t="s">
        <v>141</v>
      </c>
      <c r="F30" s="64">
        <f>IF(DATA!AC20&lt;&gt;"",DATA!AC20,DATA!AC21)</f>
        <v>2.7999999999999545</v>
      </c>
      <c r="G30" s="64"/>
      <c r="I30" s="32" t="s">
        <v>142</v>
      </c>
      <c r="J30" s="65">
        <f>IF(DATA!AD20&lt;&gt;"",DATA!AD20,DATA!AD21)</f>
        <v>392.69999999999982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28</v>
      </c>
      <c r="K20" s="6" t="str">
        <f>IF(LEN(ARRIVAL!B18)=8,IFERROR(MID(ARRIVAL!B18,3,2),""),IFERROR(MID(ARRIVAL!B18,2,2),""))</f>
        <v>01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11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4">
        <f>IFERROR(S20*SIGN(O20),"")</f>
        <v>0.125</v>
      </c>
      <c r="R20" s="8">
        <f>IFERROR(TIME(M20,N20,0),"")</f>
        <v>0.45833333333333331</v>
      </c>
      <c r="S20" s="8">
        <f t="shared" ref="S20:S23" si="5">IFERROR(TIME(ABS(O20),ABS(P20),0),"")</f>
        <v>0.125</v>
      </c>
      <c r="T20" s="9">
        <f>IFERROR(DATE(L20,K20,J20)+R20,"")</f>
        <v>45319.458333333336</v>
      </c>
      <c r="U20" s="35">
        <f t="shared" ref="U20:U23" si="6">IFERROR(T20-Q20,"")</f>
        <v>45319.333333333336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551.29999999999995</v>
      </c>
      <c r="AA20" s="31">
        <f>IFERROR(ARRIVAL!B26,"")</f>
        <v>3329.2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</v>
      </c>
      <c r="K21" s="6" t="str">
        <f>IF(LEN(ARRIVAL!F18)=8,IFERROR(MID(ARRIVAL!F18,3,2),""),IFERROR(MID(ARRIVAL!F18,2,2),""))</f>
        <v>02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0.29166666666666669</v>
      </c>
      <c r="S21" s="8">
        <f t="shared" si="5"/>
        <v>4.1666666666666664E-2</v>
      </c>
      <c r="T21" s="9">
        <f>IFERROR(DATE(L21,K21,J21)+R21,"")</f>
        <v>45323.291666666664</v>
      </c>
      <c r="U21" s="35">
        <f t="shared" si="6"/>
        <v>45323.25</v>
      </c>
      <c r="V21" s="11">
        <f>IFERROR(((24*(U21-U20))),"")</f>
        <v>93.999999999941792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548.5</v>
      </c>
      <c r="AA21" s="31">
        <f>IFERROR(ARRIVAL!F26,"")</f>
        <v>2936.5</v>
      </c>
      <c r="AB21" s="31">
        <f>IF($U$21&lt;&gt;"",(X20+Y20)-(X21+Y21),"")</f>
        <v>0</v>
      </c>
      <c r="AC21" s="31">
        <f>IF($U$21&lt;&gt;"",Z20-Z21,"")</f>
        <v>2.7999999999999545</v>
      </c>
      <c r="AD21" s="31">
        <f>IF($U$21&lt;&gt;"",AA20-AA21,"")</f>
        <v>392.69999999999982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1Officer</cp:lastModifiedBy>
  <cp:lastPrinted>2023-12-14T20:29:20Z</cp:lastPrinted>
  <dcterms:created xsi:type="dcterms:W3CDTF">2023-11-13T10:14:48Z</dcterms:created>
  <dcterms:modified xsi:type="dcterms:W3CDTF">2024-02-05T14:14:15Z</dcterms:modified>
</cp:coreProperties>
</file>