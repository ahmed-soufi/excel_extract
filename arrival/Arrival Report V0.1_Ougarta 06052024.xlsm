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<sst xmlns="http://schemas.openxmlformats.org/spreadsheetml/2006/main" count="212" uniqueCount="157">
  <si>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</si>
  <si>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</si>
  <si>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</si>
  <si>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</si>
  <si>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</si>
  <si>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</si>
  <si>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</si>
  <si>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</si>
  <si>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</si>
  <si>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</si>
  <si>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</si>
  <si>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</si>
  <si>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</si>
  <si>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</si>
  <si>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</si>
  <si>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</si>
  <si>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</si>
  <si>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</si>
  <si>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</si>
  <si>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</si>
  <si>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</si>
  <si>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</si>
  <si>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</si>
  <si>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</si>
  <si>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</si>
  <si>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</si>
  <si>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</si>
  <si>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</si>
  <si>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</si>
  <si>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</si>
  <si>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</si>
  <si>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</si>
  <si>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</si>
  <si>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</si>
  <si>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</si>
  <si>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</si>
  <si>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</si>
  <si>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</si>
  <si>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</si>
  <si>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</si>
  <si>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</si>
  <si>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</si>
  <si>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</si>
  <si>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</si>
  <si>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</si>
  <si>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</si>
  <si>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</si>
  <si>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</si>
  <si>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</si>
  <si>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</si>
  <si>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</si>
  <si>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</si>
  <si>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</si>
  <si>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</si>
  <si>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</si>
  <si>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</si>
  <si>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</si>
  <si>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</si>
  <si>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</si>
  <si>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</si>
  <si>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</si>
  <si>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</si>
  <si>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</si>
  <si>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</si>
  <si>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</si>
  <si>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</si>
  <si>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</si>
  <si>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</si>
  <si>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</si>
  <si>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</si>
  <si>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</si>
  <si>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</si>
  <si>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</si>
  <si>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</si>
  <si>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</si>
  <si>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</si>
  <si>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</si>
  <si>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</si>
  <si>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</si>
  <si>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</si>
  <si>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</si>
  <si>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</si>
  <si>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</si>
  <si>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</si>
  <si>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</si>
  <si>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</si>
  <si>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</si>
  <si>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</si>
  <si>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</si>
  <si>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</si>
  <si>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</si>
  <si>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</si>
  <si>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</si>
  <si>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</si>
  <si>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</si>
  <si>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</si>
  <si>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</si>
  <si>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</si>
  <si>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</si>
  <si>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</si>
  <si>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</si>
  <si>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</si>
  <si>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</si>
  <si>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</si>
  <si>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</si>
  <si>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</si>
  <si>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</si>
  <si>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</si>
  <si>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</si>
  <si>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</si>
  <si>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</si>
  <si>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</si>
  <si>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</si>
  <si>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</si>
  <si>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</si>
  <si>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</si>
  <si>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</si>
  <si>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</si>
  <si>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</si>
  <si>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</si>
  <si>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</si>
  <si>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</si>
  <si>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</si>
  <si>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</si>
  <si>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</si>
  <si>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</si>
  <si>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</si>
  <si>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</si>
  <si>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</si>
  <si>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</si>
  <si>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</si>
  <si>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</si>
  <si>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</si>
  <si>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</si>
  <si>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</si>
  <si>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</si>
  <si>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</si>
  <si>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</si>
  <si>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</si>
  <si>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</si>
  <si>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</si>
  <si>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</si>
  <si>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</si>
  <si>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</si>
  <si>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</si>
  <si>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</si>
  <si>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</si>
  <si>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</si>
  <si>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</si>
  <si>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</si>
  <si>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</si>
  <si>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</si>
  <si>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</si>
  <si>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015/24</t>
  </si>
  <si>
    <t>DZAZW</t>
  </si>
  <si>
    <t>WSW/2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</si>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</sst>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25" zoomScale="130" zoomScaleNormal="130" zoomScaleSheetLayoutView="130" workbookViewId="0">
      <selection activeCell="B12" sqref="B12:C12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153</v>
      </c>
      <c r="C6" s="64"/>
      <c r="E6" s="2" t="s">
        <v>29</v>
      </c>
      <c r="F6" s="67">
        <v>2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154</v>
      </c>
      <c r="C7" s="64"/>
      <c r="E7" s="2" t="s">
        <v>36</v>
      </c>
      <c r="F7" s="69">
        <v>0</v>
      </c>
      <c r="G7" s="70"/>
      <c r="I7" s="2" t="s">
        <v>17</v>
      </c>
      <c r="J7" s="54">
        <v>593.15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863</v>
      </c>
      <c r="K8" s="53"/>
    </row>
    <row r="9" spans="1:11" ht="15" customHeight="1" x14ac:dyDescent="0.25">
      <c r="A9" s="2" t="s">
        <v>66</v>
      </c>
      <c r="B9" s="60">
        <v>6052024</v>
      </c>
      <c r="C9" s="60"/>
      <c r="E9" s="2" t="s">
        <v>70</v>
      </c>
      <c r="F9" s="58" t="s">
        <v>156</v>
      </c>
      <c r="G9" s="58"/>
      <c r="I9" s="2" t="s">
        <v>39</v>
      </c>
      <c r="J9" s="61">
        <v>59150</v>
      </c>
      <c r="K9" s="61"/>
    </row>
    <row r="10" spans="1:11" ht="15" customHeight="1" x14ac:dyDescent="0.25">
      <c r="A10" s="2" t="s">
        <v>67</v>
      </c>
      <c r="B10" s="12">
        <v>835</v>
      </c>
      <c r="C10" s="13">
        <v>100</v>
      </c>
      <c r="E10" s="2" t="s">
        <v>72</v>
      </c>
      <c r="F10" s="58">
        <v>3462528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3338</v>
      </c>
      <c r="C11" s="55"/>
      <c r="E11" s="2" t="s">
        <v>73</v>
      </c>
      <c r="F11" s="58">
        <v>4070291</v>
      </c>
      <c r="G11" s="58"/>
      <c r="I11" s="2" t="s">
        <v>37</v>
      </c>
      <c r="J11" s="58">
        <v>111364379</v>
      </c>
      <c r="K11" s="58"/>
    </row>
    <row r="12" spans="1:11" ht="15" customHeight="1" x14ac:dyDescent="0.25">
      <c r="A12" s="2" t="s">
        <v>38</v>
      </c>
      <c r="B12" s="55">
        <v>220712</v>
      </c>
      <c r="C12" s="55"/>
      <c r="E12" s="2" t="s">
        <v>74</v>
      </c>
      <c r="F12" s="58">
        <v>4373356</v>
      </c>
      <c r="G12" s="58"/>
      <c r="I12" s="2" t="s">
        <v>35</v>
      </c>
      <c r="J12" s="58">
        <v>111181938</v>
      </c>
      <c r="K12" s="58"/>
    </row>
    <row r="13" spans="1:11" ht="15" customHeight="1" x14ac:dyDescent="0.25">
      <c r="E13" s="2" t="s">
        <v>75</v>
      </c>
      <c r="F13" s="58">
        <v>3587567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7346396</v>
      </c>
      <c r="G14" s="58"/>
      <c r="I14" s="2" t="s">
        <v>91</v>
      </c>
      <c r="J14" s="55">
        <v>0</v>
      </c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>
        <v>0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25042024</v>
      </c>
      <c r="C18" s="56"/>
      <c r="E18" s="2" t="s">
        <v>28</v>
      </c>
      <c r="F18" s="57">
        <v>26042024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2130</v>
      </c>
      <c r="C19" s="18">
        <v>100</v>
      </c>
      <c r="E19" s="2" t="s">
        <v>41</v>
      </c>
      <c r="F19" s="15">
        <v>930</v>
      </c>
      <c r="G19" s="16">
        <v>100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1676</v>
      </c>
      <c r="C20" s="41"/>
      <c r="D20" s="3"/>
      <c r="E20" s="2" t="s">
        <v>21</v>
      </c>
      <c r="F20" s="42">
        <v>1842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219100</v>
      </c>
      <c r="C21" s="41"/>
      <c r="D21" s="3"/>
      <c r="E21" s="2" t="s">
        <v>134</v>
      </c>
      <c r="F21" s="42">
        <v>219261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357.37</v>
      </c>
      <c r="C25" s="37"/>
      <c r="D25" s="3"/>
      <c r="E25" s="2" t="s">
        <v>17</v>
      </c>
      <c r="F25" s="38">
        <v>356.6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2494</v>
      </c>
      <c r="C26" s="45"/>
      <c r="D26" s="3"/>
      <c r="E26" s="2" t="s">
        <v>25</v>
      </c>
      <c r="F26" s="46">
        <v>2425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166</v>
      </c>
      <c r="C29" s="47"/>
      <c r="E29" s="22" t="s">
        <v>146</v>
      </c>
      <c r="F29" s="48">
        <f>IF(B29="","",DATA!V21)</f>
        <v>12</v>
      </c>
      <c r="G29" s="48"/>
      <c r="H29" s="33"/>
      <c r="I29" s="22" t="s">
        <v>43</v>
      </c>
      <c r="J29" s="49">
        <f>IFERROR(ROUND(B29/F29,1),"")</f>
        <v>13.8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0.76999999999998181</v>
      </c>
      <c r="G30" s="43"/>
      <c r="I30" s="32" t="s">
        <v>142</v>
      </c>
      <c r="J30" s="44">
        <f>IF(DATA!AD20&lt;&gt;"",DATA!AD20,DATA!AD21)</f>
        <v>69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25</v>
      </c>
      <c r="K20" s="6" t="str">
        <f>IF(LEN(ARRIVAL!B18)=8,IFERROR(MID(ARRIVAL!B18,3,2),""),IFERROR(MID(ARRIVAL!B18,2,2),""))</f>
        <v>04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21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0.89583333333333337</v>
      </c>
      <c r="S20" s="8">
        <f t="shared" ref="S20:S23" si="5">IFERROR(TIME(ABS(O20),ABS(P20),0),"")</f>
        <v>4.1666666666666664E-2</v>
      </c>
      <c r="T20" s="9">
        <f>IFERROR(DATE(L20,K20,J20)+R20,"")</f>
        <v>45407.895833333336</v>
      </c>
      <c r="U20" s="35">
        <f t="shared" ref="U20:U23" si="6">IFERROR(T20-Q20,"")</f>
        <v>45407.854166666672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357.37</v>
      </c>
      <c r="AA20" s="31">
        <f>IFERROR(ARRIVAL!B26,"")</f>
        <v>2494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26</v>
      </c>
      <c r="K21" s="6" t="str">
        <f>IF(LEN(ARRIVAL!F18)=8,IFERROR(MID(ARRIVAL!F18,3,2),""),IFERROR(MID(ARRIVAL!F18,2,2),""))</f>
        <v>04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9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0.39583333333333331</v>
      </c>
      <c r="S21" s="8">
        <f t="shared" si="5"/>
        <v>4.1666666666666664E-2</v>
      </c>
      <c r="T21" s="9">
        <f>IFERROR(DATE(L21,K21,J21)+R21,"")</f>
        <v>45408.395833333336</v>
      </c>
      <c r="U21" s="35">
        <f t="shared" si="6"/>
        <v>45408.354166666672</v>
      </c>
      <c r="V21" s="11">
        <f>IFERROR(((24*(U21-U20))),"")</f>
        <v>12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356.6</v>
      </c>
      <c r="AA21" s="31">
        <f>IFERROR(ARRIVAL!F26,"")</f>
        <v>2425</v>
      </c>
      <c r="AB21" s="31">
        <f>IF($U$21&lt;&gt;"",(X20+Y20)-(X21+Y21),"")</f>
        <v>0</v>
      </c>
      <c r="AC21" s="31">
        <f>IF($U$21&lt;&gt;"",Z20-Z21,"")</f>
        <v>0.76999999999998181</v>
      </c>
      <c r="AD21" s="31">
        <f>IF($U$21&lt;&gt;"",AA20-AA21,"")</f>
        <v>69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2024-05-06T08:09:47Z</dcterms:modified>
</cp:coreProperties>
</file>