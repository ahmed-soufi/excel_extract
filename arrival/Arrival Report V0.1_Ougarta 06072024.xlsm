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200" windowHeight="1089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<sst xmlns="http://schemas.openxmlformats.org/spreadsheetml/2006/main" count="211" uniqueCount="156">
  <si>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</si>
  <si>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</si>
  <si>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</si>
  <si>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</si>
  <si>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</si>
  <si>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</si>
  <si>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</si>
  <si>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</si>
  <si>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</si>
  <si>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</si>
  <si>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</si>
  <si>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</si>
  <si>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</si>
  <si>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</si>
  <si>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</si>
  <si>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</si>
  <si>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</si>
  <si>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</si>
  <si>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</si>
  <si>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</si>
  <si>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</si>
  <si>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</si>
  <si>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</si>
  <si>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</si>
  <si>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</si>
  <si>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</si>
  <si>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</si>
  <si>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</si>
  <si>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</si>
  <si>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</si>
  <si>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</si>
  <si>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</si>
  <si>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</si>
  <si>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</si>
  <si>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</si>
  <si>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</si>
  <si>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</si>
  <si>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</si>
  <si>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</si>
  <si>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</si>
  <si>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</si>
  <si>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</si>
  <si>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</si>
  <si>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</si>
  <si>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</si>
  <si>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</si>
  <si>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</si>
  <si>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</si>
  <si>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</si>
  <si>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</si>
  <si>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</si>
  <si>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</si>
  <si>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</si>
  <si>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</si>
  <si>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</si>
  <si>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</si>
  <si>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</si>
  <si>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</si>
  <si>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</si>
  <si>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</si>
  <si>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</si>
  <si>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</si>
  <si>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</si>
  <si>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</si>
  <si>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</si>
  <si>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</si>
  <si>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</si>
  <si>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</si>
  <si>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</si>
  <si>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</si>
  <si>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</si>
  <si>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</si>
  <si>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</si>
  <si>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</si>
  <si>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</si>
  <si>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</si>
  <si>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</si>
  <si>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</si>
  <si>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</si>
  <si>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</si>
  <si>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</si>
  <si>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</si>
  <si>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</si>
  <si>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</si>
  <si>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</si>
  <si>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</si>
  <si>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</si>
  <si>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</si>
  <si>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</si>
  <si>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</si>
  <si>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</si>
  <si>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</si>
  <si>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</si>
  <si>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</si>
  <si>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</si>
  <si>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</si>
  <si>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</si>
  <si>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</si>
  <si>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</si>
  <si>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</si>
  <si>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</si>
  <si>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</si>
  <si>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</si>
  <si>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</si>
  <si>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</si>
  <si>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</si>
  <si>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</si>
  <si>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</si>
  <si>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</si>
  <si>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</si>
  <si>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</si>
  <si>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</si>
  <si>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</si>
  <si>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</si>
  <si>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</si>
  <si>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</si>
  <si>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</si>
  <si>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</si>
  <si>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</si>
  <si>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</si>
  <si>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</si>
  <si>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</si>
  <si>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</si>
  <si>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</si>
  <si>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</si>
  <si>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</si>
  <si>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</si>
  <si>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</si>
  <si>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</si>
  <si>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</si>
  <si>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</si>
  <si>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</si>
  <si>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</si>
  <si>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</si>
  <si>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</si>
  <si>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</si>
  <si>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</si>
  <si>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</si>
  <si>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</si>
  <si>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</si>
  <si>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</si>
  <si>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</si>
  <si>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</si>
  <si>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</si>
  <si>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</si>
  <si>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</si>
  <si>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</si>
  <si>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</si>
  <si>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</si>
  <si>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</si>
  <si>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</si>
  <si>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</si>
  <si>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</si>
  <si>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026/24</t>
  </si>
  <si>
    <t>DZAZW</t>
  </si>
  <si>
    <t>NW 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</si>
</sst>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4" zoomScale="130" zoomScaleNormal="130" zoomScaleSheetLayoutView="130" workbookViewId="0">
      <selection activeCell="J15" sqref="J15:K1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1">
        <v>1107</v>
      </c>
      <c r="K5" s="61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4</v>
      </c>
      <c r="G6" s="46"/>
      <c r="I6" s="2" t="s">
        <v>24</v>
      </c>
      <c r="J6" s="61"/>
      <c r="K6" s="61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1">
        <v>419.55</v>
      </c>
      <c r="K7" s="61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0">
        <v>1972.7</v>
      </c>
      <c r="K8" s="60"/>
    </row>
    <row r="9" spans="1:11" ht="15" customHeight="1" x14ac:dyDescent="0.25">
      <c r="A9" s="2" t="s">
        <v>66</v>
      </c>
      <c r="B9" s="54">
        <v>6072024</v>
      </c>
      <c r="C9" s="54"/>
      <c r="E9" s="2" t="s">
        <v>70</v>
      </c>
      <c r="F9" s="40"/>
      <c r="G9" s="40"/>
      <c r="I9" s="2" t="s">
        <v>39</v>
      </c>
      <c r="J9" s="55">
        <v>54777</v>
      </c>
      <c r="K9" s="55"/>
    </row>
    <row r="10" spans="1:11" ht="15" customHeight="1" x14ac:dyDescent="0.25">
      <c r="A10" s="2" t="s">
        <v>67</v>
      </c>
      <c r="B10" s="12">
        <v>1340</v>
      </c>
      <c r="C10" s="13">
        <v>100</v>
      </c>
      <c r="E10" s="2" t="s">
        <v>72</v>
      </c>
      <c r="F10" s="40">
        <v>4167298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1566</v>
      </c>
      <c r="C11" s="41"/>
      <c r="E11" s="2" t="s">
        <v>73</v>
      </c>
      <c r="F11" s="40">
        <v>5329666</v>
      </c>
      <c r="G11" s="40"/>
      <c r="I11" s="2" t="s">
        <v>37</v>
      </c>
      <c r="J11" s="40">
        <v>114217867</v>
      </c>
      <c r="K11" s="40"/>
    </row>
    <row r="12" spans="1:11" ht="15" customHeight="1" x14ac:dyDescent="0.25">
      <c r="A12" s="2" t="s">
        <v>38</v>
      </c>
      <c r="B12" s="41">
        <v>233619</v>
      </c>
      <c r="C12" s="41"/>
      <c r="E12" s="2" t="s">
        <v>74</v>
      </c>
      <c r="F12" s="40">
        <v>4443036</v>
      </c>
      <c r="G12" s="40"/>
      <c r="I12" s="2" t="s">
        <v>35</v>
      </c>
      <c r="J12" s="40">
        <v>114034163</v>
      </c>
      <c r="K12" s="40"/>
    </row>
    <row r="13" spans="1:11" ht="15" customHeight="1" x14ac:dyDescent="0.25">
      <c r="E13" s="2" t="s">
        <v>75</v>
      </c>
      <c r="F13" s="40">
        <v>4732601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8412780</v>
      </c>
      <c r="G14" s="40"/>
      <c r="I14" s="2" t="s">
        <v>91</v>
      </c>
      <c r="J14" s="41">
        <v>6</v>
      </c>
      <c r="K14" s="41"/>
    </row>
    <row r="15" spans="1:11" ht="15" customHeight="1" x14ac:dyDescent="0.25">
      <c r="E15" s="2" t="s">
        <v>76</v>
      </c>
      <c r="F15" s="40">
        <v>1205439</v>
      </c>
      <c r="G15" s="40"/>
      <c r="I15" s="2" t="s">
        <v>92</v>
      </c>
      <c r="J15" s="56">
        <v>12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9">
        <v>30062024</v>
      </c>
      <c r="C18" s="59"/>
      <c r="E18" s="2" t="s">
        <v>28</v>
      </c>
      <c r="F18" s="58">
        <v>5072024</v>
      </c>
      <c r="G18" s="58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1400</v>
      </c>
      <c r="C19" s="35">
        <v>300</v>
      </c>
      <c r="E19" s="2" t="s">
        <v>41</v>
      </c>
      <c r="F19" s="32">
        <v>400</v>
      </c>
      <c r="G19" s="33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1">
        <v>12.6</v>
      </c>
      <c r="C20" s="71"/>
      <c r="D20" s="3"/>
      <c r="E20" s="2" t="s">
        <v>21</v>
      </c>
      <c r="F20" s="74">
        <v>1494</v>
      </c>
      <c r="G20" s="74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1">
        <v>232084</v>
      </c>
      <c r="C21" s="71"/>
      <c r="D21" s="3"/>
      <c r="E21" s="2" t="s">
        <v>134</v>
      </c>
      <c r="F21" s="74">
        <v>233555</v>
      </c>
      <c r="G21" s="74"/>
      <c r="H21" s="3"/>
      <c r="I21" s="2" t="s">
        <v>31</v>
      </c>
      <c r="J21" s="62"/>
      <c r="K21" s="62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3">
        <v>1107</v>
      </c>
      <c r="C23" s="73"/>
      <c r="D23" s="3"/>
      <c r="E23" s="2" t="s">
        <v>23</v>
      </c>
      <c r="F23" s="76">
        <v>1107</v>
      </c>
      <c r="G23" s="76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3">
        <v>0</v>
      </c>
      <c r="C24" s="73"/>
      <c r="D24" s="3"/>
      <c r="E24" s="2" t="s">
        <v>24</v>
      </c>
      <c r="F24" s="76">
        <v>0</v>
      </c>
      <c r="G24" s="76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3">
        <v>430.98</v>
      </c>
      <c r="C25" s="73"/>
      <c r="D25" s="3"/>
      <c r="E25" s="2" t="s">
        <v>17</v>
      </c>
      <c r="F25" s="76">
        <v>421.22</v>
      </c>
      <c r="G25" s="76"/>
      <c r="H25" s="3"/>
      <c r="I25" s="2" t="s">
        <v>32</v>
      </c>
      <c r="J25" s="62"/>
      <c r="K25" s="62"/>
    </row>
    <row r="26" spans="1:11" ht="15" customHeight="1" x14ac:dyDescent="0.25">
      <c r="A26" s="2" t="s">
        <v>25</v>
      </c>
      <c r="B26" s="72">
        <v>2985.3</v>
      </c>
      <c r="C26" s="72"/>
      <c r="D26" s="3"/>
      <c r="E26" s="2" t="s">
        <v>25</v>
      </c>
      <c r="F26" s="75">
        <v>2430.5</v>
      </c>
      <c r="G26" s="75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8" t="s">
        <v>107</v>
      </c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25">
      <c r="A29" s="18" t="s">
        <v>42</v>
      </c>
      <c r="B29" s="65">
        <f>IF(F20="","",F20-B20)</f>
        <v>1481.4</v>
      </c>
      <c r="C29" s="65"/>
      <c r="E29" s="18" t="s">
        <v>146</v>
      </c>
      <c r="F29" s="66">
        <f>IF(B29="","",DATA!V21)</f>
        <v>111.99999999994179</v>
      </c>
      <c r="G29" s="66"/>
      <c r="H29" s="29"/>
      <c r="I29" s="18" t="s">
        <v>43</v>
      </c>
      <c r="J29" s="67">
        <f>IFERROR(ROUND(B29/F29,1),"")</f>
        <v>13.2</v>
      </c>
      <c r="K29" s="67"/>
    </row>
    <row r="30" spans="1:11" s="22" customFormat="1" ht="15" customHeight="1" x14ac:dyDescent="0.25">
      <c r="A30" s="28" t="s">
        <v>140</v>
      </c>
      <c r="B30" s="63">
        <f>IF(DATA!AB20&lt;&gt;"",DATA!AB20,DATA!AB21)</f>
        <v>0</v>
      </c>
      <c r="C30" s="63"/>
      <c r="E30" s="28" t="s">
        <v>141</v>
      </c>
      <c r="F30" s="63">
        <f>IF(DATA!AC20&lt;&gt;"",DATA!AC20,DATA!AC21)</f>
        <v>9.7599999999999909</v>
      </c>
      <c r="G30" s="63"/>
      <c r="I30" s="28" t="s">
        <v>142</v>
      </c>
      <c r="J30" s="64">
        <f>IF(DATA!AD20&lt;&gt;"",DATA!AD20,DATA!AD21)</f>
        <v>554.80000000000018</v>
      </c>
      <c r="K30" s="64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30</v>
      </c>
      <c r="K20" s="6" t="str">
        <f>IF(LEN(ARRIVAL!B18)=8,IFERROR(MID(ARRIVAL!B18,3,2),""),IFERROR(MID(ARRIVAL!B18,2,2),""))</f>
        <v>06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14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0.58333333333333337</v>
      </c>
      <c r="S20" s="8">
        <f t="shared" ref="S20:S23" si="5">IFERROR(TIME(ABS(O20),ABS(P20),0),"")</f>
        <v>0.125</v>
      </c>
      <c r="T20" s="9">
        <f>IFERROR(DATE(L20,K20,J20)+R20,"")</f>
        <v>45473.583333333336</v>
      </c>
      <c r="U20" s="31">
        <f t="shared" ref="U20:U23" si="6">IFERROR(T20-Q20,"")</f>
        <v>45473.458333333336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430.98</v>
      </c>
      <c r="AA20" s="27">
        <f>IFERROR(ARRIVAL!B26,"")</f>
        <v>2985.3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5</v>
      </c>
      <c r="K21" s="6" t="str">
        <f>IF(LEN(ARRIVAL!F18)=8,IFERROR(MID(ARRIVAL!F18,3,2),""),IFERROR(MID(ARRIVAL!F18,2,2),""))</f>
        <v>07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4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0.16666666666666666</v>
      </c>
      <c r="S21" s="8">
        <f t="shared" si="5"/>
        <v>4.1666666666666664E-2</v>
      </c>
      <c r="T21" s="9">
        <f>IFERROR(DATE(L21,K21,J21)+R21,"")</f>
        <v>45478.166666666664</v>
      </c>
      <c r="U21" s="31">
        <f t="shared" si="6"/>
        <v>45478.125</v>
      </c>
      <c r="V21" s="11">
        <f>IFERROR(((24*(U21-U20))),"")</f>
        <v>111.99999999994179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421.22</v>
      </c>
      <c r="AA21" s="27">
        <f>IFERROR(ARRIVAL!F26,"")</f>
        <v>2430.5</v>
      </c>
      <c r="AB21" s="27">
        <f>IF($U$21&lt;&gt;"",(X20+Y20)-(X21+Y21),"")</f>
        <v>0</v>
      </c>
      <c r="AC21" s="27">
        <f>IF($U$21&lt;&gt;"",Z20-Z21,"")</f>
        <v>9.7599999999999909</v>
      </c>
      <c r="AD21" s="27">
        <f>IF($U$21&lt;&gt;"",AA20-AA21,"")</f>
        <v>554.80000000000018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2024-07-06T13:12:09Z</dcterms:modified>
</cp:coreProperties>
</file>