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ARRIVAL REPORTS 2024\"/>
    </mc:Choice>
  </mc:AlternateContent>
  <workbookProtection workbookAlgorithmName="SHA-512" workbookHashValue="C/Uy/GUMxXdGCYSxhJTO8CULaLD8Cbc8hKEfmFgGb8lt1oTIvbhGep7YpiHWDmCwI+gFmSbBAmgnRZUgj9I4Ag==" workbookSaltValue="3j0itjUcu9rMt7TYM7b/mQ==" workbookSpinCount="100000" lockStructure="1"/>
  <bookViews>
    <workbookView xWindow="0" yWindow="0" windowWidth="24000" windowHeight="9735"/>
  </bookViews>
  <sheets>
    <sheet name="ARRIVAL" sheetId="1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  <definedName name="_xlnm.Print_Area" localSheetId="0">ARRIVAL!$A$1:$K$32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3" i="3" l="1"/>
  <c r="J23" i="3"/>
  <c r="K22" i="3"/>
  <c r="J22" i="3"/>
  <c r="K21" i="3"/>
  <c r="J21" i="3"/>
  <c r="K20" i="3"/>
  <c r="J20" i="3"/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P22" i="3"/>
  <c r="O22" i="3"/>
  <c r="N22" i="3"/>
  <c r="M22" i="3"/>
  <c r="L22" i="3"/>
  <c r="P21" i="3"/>
  <c r="O21" i="3"/>
  <c r="N21" i="3"/>
  <c r="M21" i="3"/>
  <c r="L21" i="3"/>
  <c r="P20" i="3"/>
  <c r="O20" i="3"/>
  <c r="N20" i="3"/>
  <c r="M20" i="3"/>
  <c r="L20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AD21" i="3" s="1"/>
  <c r="U20" i="3"/>
  <c r="U23" i="3"/>
  <c r="U22" i="3"/>
  <c r="V21" i="3" l="1"/>
  <c r="AB21" i="3"/>
  <c r="AC21" i="3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B29" i="1" l="1"/>
  <c r="F29" i="1" s="1"/>
  <c r="S7" i="3"/>
  <c r="Q7" i="3" s="1"/>
  <c r="S5" i="3"/>
  <c r="Q5" i="3" s="1"/>
  <c r="R5" i="3"/>
  <c r="S6" i="3" l="1"/>
  <c r="Q6" i="3" s="1"/>
  <c r="T5" i="3"/>
  <c r="U5" i="3" s="1"/>
  <c r="R6" i="3"/>
  <c r="T6" i="3" s="1"/>
  <c r="U6" i="3" s="1"/>
  <c r="R7" i="3"/>
  <c r="T7" i="3" s="1"/>
  <c r="U7" i="3" s="1"/>
  <c r="S3" i="3"/>
  <c r="Q3" i="3" s="1"/>
  <c r="R3" i="3"/>
  <c r="S2" i="3" l="1"/>
  <c r="Q2" i="3" s="1"/>
  <c r="S4" i="3"/>
  <c r="Q4" i="3" s="1"/>
  <c r="R2" i="3"/>
  <c r="T2" i="3" s="1"/>
  <c r="U2" i="3" s="1"/>
  <c r="R4" i="3"/>
  <c r="T4" i="3" s="1"/>
  <c r="U4" i="3" s="1"/>
  <c r="T3" i="3"/>
  <c r="U3" i="3" s="1"/>
  <c r="V6" i="3"/>
  <c r="J30" i="1" l="1"/>
  <c r="F30" i="1"/>
  <c r="B30" i="1"/>
  <c r="AD3" i="3"/>
  <c r="AC3" i="3"/>
  <c r="AB3" i="3"/>
  <c r="AD4" i="3"/>
  <c r="J30" i="3" s="1"/>
  <c r="AB4" i="3"/>
  <c r="AC4" i="3"/>
  <c r="V4" i="3"/>
  <c r="J29" i="1" s="1"/>
  <c r="V3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(present berth,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the aggregated distance while the vessel has been drifting without her own propulsion since last departure report)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aggregated time while the vessel has been drifting without her own propulsion since last departure report)</t>
        </r>
      </text>
    </comment>
    <comment ref="A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E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9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SOSP)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4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<sst xmlns="http://schemas.openxmlformats.org/spreadsheetml/2006/main" count="212" uniqueCount="157">
  <si>
    <t>Port</t>
  </si>
  <si>
    <t>ARRIVAL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</si>
  <si>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</si>
  <si>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</si>
  <si>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</si>
  <si>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</si>
  <si>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</si>
  <si>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</si>
  <si>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</si>
  <si>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</si>
  <si>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</si>
  <si>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</si>
  <si>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</si>
  <si>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</si>
  <si>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</si>
  <si>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</si>
  <si>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Started sea passage - Date</t>
  </si>
  <si>
    <t>MGO</t>
  </si>
  <si>
    <t>At anchor</t>
  </si>
  <si>
    <t>Ballast sea passage</t>
  </si>
  <si>
    <t>GPS trip counter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</si>
  <si>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</si>
  <si>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</si>
  <si>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</si>
  <si>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</si>
  <si>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</si>
  <si>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</si>
  <si>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</si>
  <si>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</si>
  <si>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</si>
  <si>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</si>
  <si>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</si>
  <si>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</si>
  <si>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</si>
  <si>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</si>
  <si>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</si>
  <si>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</si>
  <si>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</si>
  <si>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</si>
  <si>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</si>
  <si>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</si>
  <si>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Local time | Time zone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</si>
  <si>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</si>
  <si>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</si>
  <si>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</si>
  <si>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</si>
  <si>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</si>
  <si>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</si>
  <si>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</si>
  <si>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</si>
  <si>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</si>
  <si>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</si>
  <si>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</si>
  <si>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</si>
  <si>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</si>
  <si>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</si>
  <si>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</si>
  <si>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</si>
  <si>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</si>
  <si>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</si>
  <si>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</si>
  <si>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</si>
  <si>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</si>
  <si>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</si>
  <si>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</si>
  <si>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</si>
  <si>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FWE Date</t>
  </si>
  <si>
    <t>FWE Local time | Time zone</t>
  </si>
  <si>
    <t>REMAINING ON BOARD AT FWE</t>
  </si>
  <si>
    <t>FUEL GAS COUNTERS AT FWE (LNG CARRIERS only)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</si>
  <si>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</si>
  <si>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</si>
  <si>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</si>
  <si>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</si>
  <si>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</si>
  <si>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</si>
  <si>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</si>
  <si>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Arrival Port</t>
  </si>
  <si>
    <t>Completed DCS Voyage number</t>
  </si>
  <si>
    <t>Call type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</si>
  <si>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</si>
  <si>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</si>
  <si>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</si>
  <si>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</si>
  <si>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</si>
  <si>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</si>
  <si>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</si>
  <si>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</si>
  <si>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</si>
  <si>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</si>
  <si>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</si>
  <si>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Total distance adrift without engine (nm)</t>
  </si>
  <si>
    <t>Total time adrift without engine (hours)</t>
  </si>
  <si>
    <t>ARRIVAL DATA (AT FWE)</t>
  </si>
  <si>
    <t>SOSP DATA</t>
  </si>
  <si>
    <t>EOSP DATA</t>
  </si>
  <si>
    <t>VOYAGE DRIFTING DATA if any (without engine)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</si>
  <si>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</si>
  <si>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</si>
  <si>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</si>
  <si>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</si>
  <si>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</si>
  <si>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</si>
  <si>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</si>
  <si>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</si>
  <si>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</si>
  <si>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</si>
  <si>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</si>
  <si>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</si>
  <si>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</si>
  <si>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</si>
  <si>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</si>
  <si>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</si>
  <si>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</si>
  <si>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</si>
  <si>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</si>
  <si>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</si>
  <si>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</si>
  <si>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</si>
  <si>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</si>
  <si>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</si>
  <si>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</si>
  <si>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</si>
  <si>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</si>
  <si>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</si>
  <si>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</si>
  <si>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</si>
  <si>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</si>
  <si>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</si>
  <si>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</si>
  <si>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</si>
  <si>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</si>
  <si>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</si>
  <si>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</si>
  <si>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</si>
  <si>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</si>
  <si>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WEATHER AT ARRIVAL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</si>
  <si>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</si>
  <si>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</si>
  <si>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</si>
  <si>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</si>
  <si>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</si>
  <si>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</si>
  <si>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</si>
  <si>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</si>
  <si>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</si>
  <si>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</si>
  <si>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</si>
  <si>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</si>
  <si>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</si>
  <si>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</si>
  <si>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</si>
  <si>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K.BENRABAH</t>
  </si>
  <si>
    <t xml:space="preserve"> </t>
  </si>
  <si>
    <t>TRMAR</t>
  </si>
  <si>
    <t>N/4</t>
  </si>
  <si>
    <t>013/24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</si>
</sst>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6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&quot; ltr&quot;"/>
    <numFmt numFmtId="173" formatCode="0&quot; h&quot;"/>
    <numFmt numFmtId="174" formatCode="0.000&quot; m&quot;"/>
    <numFmt numFmtId="175" formatCode="0.000&quot; mt&quot;"/>
    <numFmt numFmtId="176" formatCode="0.000&quot; m³&quot;"/>
    <numFmt numFmtId="177" formatCode="0.00&quot; t&quot;"/>
    <numFmt numFmtId="178" formatCode="0.000"/>
    <numFmt numFmtId="179" formatCode="dd/mm/yyyy\ hh:mm&quot; Z&quot;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3" fillId="0" borderId="0" xfId="0" applyFont="1" applyAlignment="1">
      <alignment vertical="center"/>
    </xf>
    <xf numFmtId="49" fontId="3" fillId="0" borderId="1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8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20" fontId="5" fillId="0" borderId="0" xfId="0" applyNumberFormat="1" applyFont="1" applyAlignment="1">
      <alignment vertical="center"/>
    </xf>
    <xf numFmtId="2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70" fontId="8" fillId="0" borderId="0" xfId="0" applyNumberFormat="1" applyFont="1" applyAlignment="1">
      <alignment vertical="center"/>
    </xf>
    <xf numFmtId="166" fontId="3" fillId="4" borderId="1" xfId="0" applyNumberFormat="1" applyFont="1" applyFill="1" applyBorder="1" applyAlignment="1" applyProtection="1">
      <alignment horizontal="center" vertical="center"/>
      <protection locked="0"/>
    </xf>
    <xf numFmtId="164" fontId="3" fillId="4" borderId="1" xfId="0" applyNumberFormat="1" applyFont="1" applyFill="1" applyBorder="1" applyAlignment="1" applyProtection="1">
      <alignment horizontal="center" vertical="center"/>
      <protection locked="0"/>
    </xf>
    <xf numFmtId="166" fontId="3" fillId="5" borderId="1" xfId="0" applyNumberFormat="1" applyFont="1" applyFill="1" applyBorder="1" applyAlignment="1" applyProtection="1">
      <alignment horizontal="center" vertical="center"/>
      <protection locked="0"/>
    </xf>
    <xf numFmtId="166" fontId="3" fillId="6" borderId="1" xfId="0" applyNumberFormat="1" applyFont="1" applyFill="1" applyBorder="1" applyAlignment="1" applyProtection="1">
      <alignment horizontal="center" vertical="center"/>
      <protection locked="0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166" fontId="3" fillId="3" borderId="1" xfId="0" applyNumberFormat="1" applyFont="1" applyFill="1" applyBorder="1" applyAlignment="1" applyProtection="1">
      <alignment horizontal="center" vertical="center"/>
      <protection locked="0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4" xfId="0" applyFont="1" applyBorder="1" applyAlignment="1">
      <alignment vertical="center"/>
    </xf>
    <xf numFmtId="164" fontId="3" fillId="7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 applyProtection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174" fontId="5" fillId="0" borderId="0" xfId="0" applyNumberFormat="1" applyFont="1" applyAlignment="1">
      <alignment vertical="center"/>
    </xf>
    <xf numFmtId="177" fontId="5" fillId="0" borderId="0" xfId="0" applyNumberFormat="1" applyFont="1" applyAlignment="1">
      <alignment vertical="center"/>
    </xf>
    <xf numFmtId="178" fontId="5" fillId="0" borderId="0" xfId="0" applyNumberFormat="1" applyFont="1" applyAlignment="1">
      <alignment vertical="center"/>
    </xf>
    <xf numFmtId="0" fontId="3" fillId="0" borderId="1" xfId="0" applyFont="1" applyBorder="1" applyAlignment="1" applyProtection="1">
      <alignment vertical="center"/>
    </xf>
    <xf numFmtId="49" fontId="7" fillId="2" borderId="4" xfId="0" applyNumberFormat="1" applyFont="1" applyFill="1" applyBorder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0" fontId="3" fillId="0" borderId="0" xfId="0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 applyProtection="1">
      <alignment horizontal="center" vertical="center"/>
    </xf>
    <xf numFmtId="49" fontId="3" fillId="4" borderId="1" xfId="0" applyNumberFormat="1" applyFont="1" applyFill="1" applyBorder="1" applyAlignment="1" applyProtection="1">
      <alignment horizontal="center" vertical="center"/>
      <protection locked="0"/>
    </xf>
    <xf numFmtId="1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>
      <alignment horizontal="right" vertical="center"/>
    </xf>
    <xf numFmtId="49" fontId="3" fillId="4" borderId="2" xfId="0" applyNumberFormat="1" applyFont="1" applyFill="1" applyBorder="1" applyAlignment="1" applyProtection="1">
      <alignment horizontal="center" vertical="center"/>
      <protection locked="0"/>
    </xf>
    <xf numFmtId="49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2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73" fontId="3" fillId="4" borderId="2" xfId="0" applyNumberFormat="1" applyFont="1" applyFill="1" applyBorder="1" applyAlignment="1" applyProtection="1">
      <alignment horizontal="center" vertical="center"/>
      <protection locked="0"/>
    </xf>
    <xf numFmtId="173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2" fillId="0" borderId="2" xfId="0" applyNumberFormat="1" applyFont="1" applyFill="1" applyBorder="1" applyAlignment="1">
      <alignment horizontal="right" vertical="center"/>
    </xf>
    <xf numFmtId="49" fontId="2" fillId="0" borderId="3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right" vertical="center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165" fontId="3" fillId="5" borderId="1" xfId="0" applyNumberFormat="1" applyFont="1" applyFill="1" applyBorder="1" applyAlignment="1" applyProtection="1">
      <alignment horizontal="center" vertical="center"/>
      <protection locked="0"/>
    </xf>
    <xf numFmtId="167" fontId="3" fillId="3" borderId="1" xfId="0" applyNumberFormat="1" applyFont="1" applyFill="1" applyBorder="1" applyAlignment="1" applyProtection="1">
      <alignment horizontal="center" vertical="center"/>
      <protection locked="0"/>
    </xf>
    <xf numFmtId="165" fontId="3" fillId="4" borderId="1" xfId="0" applyNumberFormat="1" applyFont="1" applyFill="1" applyBorder="1" applyAlignment="1" applyProtection="1">
      <alignment horizontal="center" vertical="center"/>
      <protection locked="0"/>
    </xf>
    <xf numFmtId="172" fontId="3" fillId="4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2" xfId="0" applyNumberFormat="1" applyFont="1" applyFill="1" applyBorder="1" applyAlignment="1" applyProtection="1">
      <alignment horizontal="center" vertical="center"/>
      <protection locked="0"/>
    </xf>
    <xf numFmtId="170" fontId="3" fillId="4" borderId="5" xfId="0" applyNumberFormat="1" applyFont="1" applyFill="1" applyBorder="1" applyAlignment="1" applyProtection="1">
      <alignment horizontal="center" vertical="center"/>
      <protection locked="0"/>
    </xf>
    <xf numFmtId="167" fontId="3" fillId="6" borderId="1" xfId="0" applyNumberFormat="1" applyFont="1" applyFill="1" applyBorder="1" applyAlignment="1" applyProtection="1">
      <alignment horizontal="center" vertical="center"/>
      <protection locked="0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165" fontId="3" fillId="6" borderId="1" xfId="0" applyNumberFormat="1" applyFont="1" applyFill="1" applyBorder="1" applyAlignment="1" applyProtection="1">
      <alignment horizontal="center" vertical="center"/>
      <protection locked="0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2" fillId="4" borderId="1" xfId="0" applyNumberFormat="1" applyFont="1" applyFill="1" applyBorder="1" applyAlignment="1" applyProtection="1">
      <alignment horizontal="center" vertical="center"/>
    </xf>
    <xf numFmtId="176" fontId="2" fillId="4" borderId="1" xfId="0" applyNumberFormat="1" applyFont="1" applyFill="1" applyBorder="1" applyAlignment="1" applyProtection="1">
      <alignment horizontal="center" vertical="center"/>
    </xf>
    <xf numFmtId="175" fontId="3" fillId="3" borderId="1" xfId="0" applyNumberFormat="1" applyFont="1" applyFill="1" applyBorder="1" applyAlignment="1" applyProtection="1">
      <alignment horizontal="center" vertical="center"/>
      <protection locked="0"/>
    </xf>
    <xf numFmtId="175" fontId="3" fillId="6" borderId="1" xfId="0" applyNumberFormat="1" applyFont="1" applyFill="1" applyBorder="1" applyAlignment="1" applyProtection="1">
      <alignment horizontal="center" vertical="center"/>
      <protection locked="0"/>
    </xf>
    <xf numFmtId="176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6" borderId="1" xfId="0" applyNumberFormat="1" applyFont="1" applyFill="1" applyBorder="1" applyAlignment="1" applyProtection="1">
      <alignment horizontal="center" vertical="center"/>
      <protection locked="0"/>
    </xf>
    <xf numFmtId="167" fontId="3" fillId="5" borderId="1" xfId="0" applyNumberFormat="1" applyFont="1" applyFill="1" applyBorder="1" applyAlignment="1" applyProtection="1">
      <alignment horizontal="center" vertical="center"/>
      <protection locked="0"/>
    </xf>
    <xf numFmtId="167" fontId="2" fillId="4" borderId="4" xfId="0" applyNumberFormat="1" applyFont="1" applyFill="1" applyBorder="1" applyAlignment="1">
      <alignment horizontal="center" vertical="center"/>
    </xf>
    <xf numFmtId="170" fontId="2" fillId="4" borderId="4" xfId="0" applyNumberFormat="1" applyFont="1" applyFill="1" applyBorder="1" applyAlignment="1">
      <alignment horizontal="center" vertical="center"/>
    </xf>
    <xf numFmtId="171" fontId="2" fillId="4" borderId="4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49" fontId="7" fillId="2" borderId="5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K61"/>
  <sheetViews>
    <sheetView tabSelected="1" view="pageBreakPreview" topLeftCell="A4" zoomScale="126" zoomScaleNormal="130" zoomScaleSheetLayoutView="126" workbookViewId="0">
      <selection activeCell="B7" sqref="B7:C7"/>
    </sheetView>
  </sheetViews>
  <sheetFormatPr baseColWidth="10" defaultRowHeight="12.95" customHeight="1" x14ac:dyDescent="0.25"/>
  <cols>
    <col min="1" max="1" width="27.7109375" style="1" customWidth="1"/>
    <col min="2" max="3" width="9.140625" style="1" customWidth="1"/>
    <col min="4" max="4" width="1.7109375" style="1" customWidth="1"/>
    <col min="5" max="5" width="27.7109375" style="1" customWidth="1"/>
    <col min="6" max="7" width="9.140625" style="1" customWidth="1"/>
    <col min="8" max="8" width="1.7109375" style="1" customWidth="1"/>
    <col min="9" max="9" width="27.7109375" style="1" customWidth="1"/>
    <col min="10" max="11" width="9.140625" style="1" customWidth="1"/>
    <col min="12" max="16384" width="11.42578125" style="1"/>
  </cols>
  <sheetData>
    <row r="1" spans="1:11" ht="8.1" customHeight="1" x14ac:dyDescent="0.25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</row>
    <row r="2" spans="1:11" ht="20.100000000000001" customHeight="1" x14ac:dyDescent="0.25">
      <c r="A2" s="37" t="s">
        <v>1</v>
      </c>
      <c r="B2" s="37"/>
      <c r="C2" s="37"/>
      <c r="E2" s="19" t="s">
        <v>34</v>
      </c>
      <c r="F2" s="38" t="s">
        <v>12</v>
      </c>
      <c r="G2" s="38"/>
      <c r="I2" s="20" t="s">
        <v>53</v>
      </c>
      <c r="J2" s="39" t="s">
        <v>152</v>
      </c>
      <c r="K2" s="39"/>
    </row>
    <row r="3" spans="1:11" ht="8.1" customHeight="1" x14ac:dyDescent="0.25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</row>
    <row r="4" spans="1:11" ht="15" customHeight="1" x14ac:dyDescent="0.25">
      <c r="A4" s="42" t="s">
        <v>93</v>
      </c>
      <c r="B4" s="42"/>
      <c r="C4" s="42"/>
      <c r="E4" s="49" t="s">
        <v>136</v>
      </c>
      <c r="F4" s="50"/>
      <c r="G4" s="51"/>
      <c r="I4" s="42" t="s">
        <v>68</v>
      </c>
      <c r="J4" s="42"/>
      <c r="K4" s="42"/>
    </row>
    <row r="5" spans="1:11" ht="15" customHeight="1" x14ac:dyDescent="0.25">
      <c r="A5" s="2" t="s">
        <v>79</v>
      </c>
      <c r="B5" s="39" t="s">
        <v>109</v>
      </c>
      <c r="C5" s="39"/>
      <c r="E5" s="2" t="s">
        <v>40</v>
      </c>
      <c r="F5" s="43" t="s">
        <v>155</v>
      </c>
      <c r="G5" s="44"/>
      <c r="I5" s="2" t="s">
        <v>23</v>
      </c>
      <c r="J5" s="63">
        <v>1107</v>
      </c>
      <c r="K5" s="63"/>
    </row>
    <row r="6" spans="1:11" ht="15" customHeight="1" x14ac:dyDescent="0.25">
      <c r="A6" s="2" t="s">
        <v>78</v>
      </c>
      <c r="B6" s="39" t="s">
        <v>156</v>
      </c>
      <c r="C6" s="39"/>
      <c r="E6" s="2" t="s">
        <v>29</v>
      </c>
      <c r="F6" s="45">
        <v>3</v>
      </c>
      <c r="G6" s="46"/>
      <c r="I6" s="2" t="s">
        <v>24</v>
      </c>
      <c r="J6" s="63">
        <v>0</v>
      </c>
      <c r="K6" s="63"/>
    </row>
    <row r="7" spans="1:11" ht="15" customHeight="1" x14ac:dyDescent="0.25">
      <c r="A7" s="2" t="s">
        <v>77</v>
      </c>
      <c r="B7" s="39" t="s">
        <v>154</v>
      </c>
      <c r="C7" s="39"/>
      <c r="E7" s="2" t="s">
        <v>36</v>
      </c>
      <c r="F7" s="47">
        <v>0</v>
      </c>
      <c r="G7" s="48"/>
      <c r="I7" s="2" t="s">
        <v>17</v>
      </c>
      <c r="J7" s="63">
        <v>410.52</v>
      </c>
      <c r="K7" s="63"/>
    </row>
    <row r="8" spans="1:11" ht="15" customHeight="1" x14ac:dyDescent="0.25">
      <c r="A8" s="2" t="s">
        <v>87</v>
      </c>
      <c r="B8" s="39" t="s">
        <v>90</v>
      </c>
      <c r="C8" s="39"/>
      <c r="E8" s="42" t="s">
        <v>69</v>
      </c>
      <c r="F8" s="42"/>
      <c r="G8" s="42"/>
      <c r="I8" s="2" t="s">
        <v>25</v>
      </c>
      <c r="J8" s="62">
        <v>167430</v>
      </c>
      <c r="K8" s="62"/>
    </row>
    <row r="9" spans="1:11" ht="15" customHeight="1" x14ac:dyDescent="0.25">
      <c r="A9" s="2" t="s">
        <v>66</v>
      </c>
      <c r="B9" s="55">
        <v>8042024</v>
      </c>
      <c r="C9" s="55"/>
      <c r="E9" s="2" t="s">
        <v>70</v>
      </c>
      <c r="F9" s="40" t="s">
        <v>153</v>
      </c>
      <c r="G9" s="40"/>
      <c r="I9" s="2" t="s">
        <v>39</v>
      </c>
      <c r="J9" s="56"/>
      <c r="K9" s="56"/>
    </row>
    <row r="10" spans="1:11" ht="15" customHeight="1" x14ac:dyDescent="0.25">
      <c r="A10" s="2" t="s">
        <v>67</v>
      </c>
      <c r="B10" s="12">
        <v>130</v>
      </c>
      <c r="C10" s="13">
        <v>200</v>
      </c>
      <c r="E10" s="2" t="s">
        <v>72</v>
      </c>
      <c r="F10" s="40">
        <v>3027004</v>
      </c>
      <c r="G10" s="40"/>
      <c r="I10" s="42" t="s">
        <v>56</v>
      </c>
      <c r="J10" s="42"/>
      <c r="K10" s="42"/>
    </row>
    <row r="11" spans="1:11" ht="15" customHeight="1" x14ac:dyDescent="0.25">
      <c r="A11" s="2" t="s">
        <v>20</v>
      </c>
      <c r="B11" s="41">
        <v>1579</v>
      </c>
      <c r="C11" s="41"/>
      <c r="E11" s="2" t="s">
        <v>73</v>
      </c>
      <c r="F11" s="40">
        <v>4038764</v>
      </c>
      <c r="G11" s="40"/>
      <c r="I11" s="2" t="s">
        <v>37</v>
      </c>
      <c r="J11" s="40">
        <v>109943440</v>
      </c>
      <c r="K11" s="40"/>
    </row>
    <row r="12" spans="1:11" ht="15" customHeight="1" x14ac:dyDescent="0.25">
      <c r="A12" s="2" t="s">
        <v>38</v>
      </c>
      <c r="B12" s="41">
        <v>214173</v>
      </c>
      <c r="C12" s="41"/>
      <c r="E12" s="2" t="s">
        <v>74</v>
      </c>
      <c r="F12" s="40">
        <v>3485392</v>
      </c>
      <c r="G12" s="40"/>
      <c r="I12" s="2" t="s">
        <v>35</v>
      </c>
      <c r="J12" s="40">
        <v>109753415</v>
      </c>
      <c r="K12" s="40"/>
    </row>
    <row r="13" spans="1:11" ht="15" customHeight="1" x14ac:dyDescent="0.25">
      <c r="E13" s="2" t="s">
        <v>75</v>
      </c>
      <c r="F13" s="40">
        <v>3580652</v>
      </c>
      <c r="G13" s="40"/>
      <c r="I13" s="42" t="s">
        <v>96</v>
      </c>
      <c r="J13" s="42"/>
      <c r="K13" s="42"/>
    </row>
    <row r="14" spans="1:11" ht="15" customHeight="1" x14ac:dyDescent="0.25">
      <c r="E14" s="2" t="s">
        <v>71</v>
      </c>
      <c r="F14" s="40">
        <v>7245017</v>
      </c>
      <c r="G14" s="40"/>
      <c r="I14" s="2" t="s">
        <v>91</v>
      </c>
      <c r="J14" s="41">
        <v>0</v>
      </c>
      <c r="K14" s="41"/>
    </row>
    <row r="15" spans="1:11" ht="15" customHeight="1" x14ac:dyDescent="0.25">
      <c r="E15" s="2" t="s">
        <v>76</v>
      </c>
      <c r="F15" s="40">
        <v>1204288</v>
      </c>
      <c r="G15" s="40"/>
      <c r="I15" s="2" t="s">
        <v>92</v>
      </c>
      <c r="J15" s="57">
        <v>0</v>
      </c>
      <c r="K15" s="58"/>
    </row>
    <row r="16" spans="1:11" ht="8.1" customHeight="1" x14ac:dyDescent="0.25">
      <c r="D16" s="21"/>
      <c r="H16" s="21"/>
      <c r="I16" s="21"/>
      <c r="J16" s="21"/>
      <c r="K16" s="21"/>
    </row>
    <row r="17" spans="1:11" ht="15" customHeight="1" x14ac:dyDescent="0.25">
      <c r="A17" s="42" t="s">
        <v>94</v>
      </c>
      <c r="B17" s="42"/>
      <c r="C17" s="42"/>
      <c r="E17" s="42" t="s">
        <v>95</v>
      </c>
      <c r="F17" s="42"/>
      <c r="G17" s="42"/>
      <c r="I17" s="42" t="s">
        <v>54</v>
      </c>
      <c r="J17" s="42"/>
      <c r="K17" s="42"/>
    </row>
    <row r="18" spans="1:11" ht="15" customHeight="1" x14ac:dyDescent="0.25">
      <c r="A18" s="2" t="s">
        <v>16</v>
      </c>
      <c r="B18" s="60">
        <v>3042024</v>
      </c>
      <c r="C18" s="60"/>
      <c r="E18" s="2" t="s">
        <v>28</v>
      </c>
      <c r="F18" s="61">
        <v>7042024</v>
      </c>
      <c r="G18" s="61"/>
      <c r="I18" s="2" t="s">
        <v>0</v>
      </c>
      <c r="J18" s="52"/>
      <c r="K18" s="52"/>
    </row>
    <row r="19" spans="1:11" ht="15" customHeight="1" x14ac:dyDescent="0.25">
      <c r="A19" s="2" t="s">
        <v>41</v>
      </c>
      <c r="B19" s="17">
        <v>1300</v>
      </c>
      <c r="C19" s="18">
        <v>100</v>
      </c>
      <c r="E19" s="2" t="s">
        <v>41</v>
      </c>
      <c r="F19" s="15">
        <v>1500</v>
      </c>
      <c r="G19" s="16">
        <v>200</v>
      </c>
      <c r="I19" s="2" t="s">
        <v>30</v>
      </c>
      <c r="J19" s="53"/>
      <c r="K19" s="53"/>
    </row>
    <row r="20" spans="1:11" ht="15" customHeight="1" x14ac:dyDescent="0.25">
      <c r="A20" s="2" t="s">
        <v>22</v>
      </c>
      <c r="B20" s="54">
        <v>13</v>
      </c>
      <c r="C20" s="54"/>
      <c r="D20" s="3"/>
      <c r="E20" s="2" t="s">
        <v>21</v>
      </c>
      <c r="F20" s="59">
        <v>1465</v>
      </c>
      <c r="G20" s="59"/>
      <c r="H20" s="3"/>
      <c r="I20" s="2" t="s">
        <v>41</v>
      </c>
      <c r="J20" s="14"/>
      <c r="K20" s="23"/>
    </row>
    <row r="21" spans="1:11" ht="15" customHeight="1" x14ac:dyDescent="0.25">
      <c r="A21" s="2" t="s">
        <v>135</v>
      </c>
      <c r="B21" s="54">
        <v>212625</v>
      </c>
      <c r="C21" s="54"/>
      <c r="D21" s="3"/>
      <c r="E21" s="2" t="s">
        <v>134</v>
      </c>
      <c r="F21" s="59">
        <v>214059</v>
      </c>
      <c r="G21" s="59"/>
      <c r="H21" s="3"/>
      <c r="I21" s="2" t="s">
        <v>31</v>
      </c>
      <c r="J21" s="70"/>
      <c r="K21" s="70"/>
    </row>
    <row r="22" spans="1:11" ht="15" customHeight="1" x14ac:dyDescent="0.25">
      <c r="A22" s="42" t="s">
        <v>26</v>
      </c>
      <c r="B22" s="42"/>
      <c r="C22" s="42"/>
      <c r="D22" s="3"/>
      <c r="E22" s="42" t="s">
        <v>27</v>
      </c>
      <c r="F22" s="42"/>
      <c r="G22" s="42"/>
      <c r="H22" s="3"/>
      <c r="I22" s="42" t="s">
        <v>55</v>
      </c>
      <c r="J22" s="42"/>
      <c r="K22" s="42"/>
    </row>
    <row r="23" spans="1:11" ht="15" customHeight="1" x14ac:dyDescent="0.25">
      <c r="A23" s="2" t="s">
        <v>23</v>
      </c>
      <c r="B23" s="66">
        <v>1107</v>
      </c>
      <c r="C23" s="66"/>
      <c r="D23" s="3"/>
      <c r="E23" s="2" t="s">
        <v>23</v>
      </c>
      <c r="F23" s="67">
        <v>1107</v>
      </c>
      <c r="G23" s="67"/>
      <c r="H23" s="3"/>
      <c r="I23" s="2" t="s">
        <v>33</v>
      </c>
      <c r="J23" s="53"/>
      <c r="K23" s="53"/>
    </row>
    <row r="24" spans="1:11" ht="15" customHeight="1" x14ac:dyDescent="0.25">
      <c r="A24" s="2" t="s">
        <v>24</v>
      </c>
      <c r="B24" s="66">
        <v>0</v>
      </c>
      <c r="C24" s="66"/>
      <c r="D24" s="3"/>
      <c r="E24" s="2" t="s">
        <v>24</v>
      </c>
      <c r="F24" s="67">
        <v>0</v>
      </c>
      <c r="G24" s="67"/>
      <c r="H24" s="3"/>
      <c r="I24" s="2" t="s">
        <v>41</v>
      </c>
      <c r="J24" s="14"/>
      <c r="K24" s="23"/>
    </row>
    <row r="25" spans="1:11" ht="15" customHeight="1" x14ac:dyDescent="0.25">
      <c r="A25" s="2" t="s">
        <v>17</v>
      </c>
      <c r="B25" s="66">
        <v>415.76</v>
      </c>
      <c r="C25" s="66"/>
      <c r="D25" s="3"/>
      <c r="E25" s="2" t="s">
        <v>17</v>
      </c>
      <c r="F25" s="67">
        <v>411.04</v>
      </c>
      <c r="G25" s="67"/>
      <c r="H25" s="3"/>
      <c r="I25" s="2" t="s">
        <v>32</v>
      </c>
      <c r="J25" s="70"/>
      <c r="K25" s="70"/>
    </row>
    <row r="26" spans="1:11" ht="15" customHeight="1" x14ac:dyDescent="0.25">
      <c r="A26" s="2" t="s">
        <v>25</v>
      </c>
      <c r="B26" s="68">
        <v>168105</v>
      </c>
      <c r="C26" s="68"/>
      <c r="D26" s="3"/>
      <c r="E26" s="2" t="s">
        <v>25</v>
      </c>
      <c r="F26" s="69">
        <v>167480</v>
      </c>
      <c r="G26" s="69"/>
      <c r="H26" s="3"/>
      <c r="I26" s="24"/>
      <c r="J26" s="24"/>
      <c r="K26" s="24"/>
    </row>
    <row r="27" spans="1:11" ht="8.1" customHeight="1" x14ac:dyDescent="0.25">
      <c r="A27" s="24"/>
      <c r="B27" s="24"/>
      <c r="C27" s="24"/>
      <c r="D27" s="24"/>
      <c r="E27" s="24"/>
      <c r="F27" s="24"/>
      <c r="G27" s="24"/>
      <c r="H27" s="3"/>
      <c r="I27" s="24"/>
      <c r="J27" s="24"/>
      <c r="K27" s="24"/>
    </row>
    <row r="28" spans="1:11" ht="20.100000000000001" customHeight="1" x14ac:dyDescent="0.25">
      <c r="A28" s="74" t="s">
        <v>107</v>
      </c>
      <c r="B28" s="75"/>
      <c r="C28" s="75"/>
      <c r="D28" s="75"/>
      <c r="E28" s="75"/>
      <c r="F28" s="75"/>
      <c r="G28" s="75"/>
      <c r="H28" s="75"/>
      <c r="I28" s="75"/>
      <c r="J28" s="75"/>
      <c r="K28" s="76"/>
    </row>
    <row r="29" spans="1:11" ht="15" customHeight="1" x14ac:dyDescent="0.25">
      <c r="A29" s="22" t="s">
        <v>42</v>
      </c>
      <c r="B29" s="71">
        <f>IF(F20="","",F20-B20)</f>
        <v>1452</v>
      </c>
      <c r="C29" s="71"/>
      <c r="E29" s="22" t="s">
        <v>146</v>
      </c>
      <c r="F29" s="72">
        <f>IF(B29="","",DATA!V21)</f>
        <v>96.999999999941792</v>
      </c>
      <c r="G29" s="72"/>
      <c r="H29" s="33"/>
      <c r="I29" s="22" t="s">
        <v>43</v>
      </c>
      <c r="J29" s="73">
        <f>IFERROR(ROUND(B29/F29,1),"")</f>
        <v>15</v>
      </c>
      <c r="K29" s="73"/>
    </row>
    <row r="30" spans="1:11" s="26" customFormat="1" ht="15" customHeight="1" x14ac:dyDescent="0.25">
      <c r="A30" s="32" t="s">
        <v>140</v>
      </c>
      <c r="B30" s="64">
        <f>IF(DATA!AB20&lt;&gt;"",DATA!AB20,DATA!AB21)</f>
        <v>0</v>
      </c>
      <c r="C30" s="64"/>
      <c r="E30" s="32" t="s">
        <v>141</v>
      </c>
      <c r="F30" s="64">
        <f>IF(DATA!AC20&lt;&gt;"",DATA!AC20,DATA!AC21)</f>
        <v>4.7199999999999704</v>
      </c>
      <c r="G30" s="64"/>
      <c r="I30" s="32" t="s">
        <v>142</v>
      </c>
      <c r="J30" s="65">
        <f>IF(DATA!AD20&lt;&gt;"",DATA!AD20,DATA!AD21)</f>
        <v>625</v>
      </c>
      <c r="K30" s="65"/>
    </row>
    <row r="31" spans="1:11" s="26" customFormat="1" ht="12.95" customHeight="1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  <row r="50" ht="13.5" x14ac:dyDescent="0.25"/>
    <row r="51" ht="13.5" x14ac:dyDescent="0.25"/>
    <row r="52" ht="13.5" x14ac:dyDescent="0.25"/>
    <row r="53" ht="13.5" x14ac:dyDescent="0.25"/>
    <row r="54" ht="13.5" x14ac:dyDescent="0.25"/>
    <row r="55" ht="13.5" x14ac:dyDescent="0.25"/>
    <row r="56" ht="13.5" x14ac:dyDescent="0.25"/>
    <row r="57" ht="13.5" x14ac:dyDescent="0.25"/>
    <row r="58" ht="13.5" x14ac:dyDescent="0.25"/>
    <row r="59" ht="13.5" x14ac:dyDescent="0.25"/>
    <row r="60" ht="13.5" x14ac:dyDescent="0.25"/>
    <row r="61" ht="13.5" x14ac:dyDescent="0.25"/>
  </sheetData>
  <sheetProtection algorithmName="SHA-512" hashValue="pOqMrshPn71PwT4sWda0IQZW4fd0FZQQm8Gyphjo7PYlpVPsuPgCR1YwYCwoWddWDrMLgynP2hP6DMCOKoSlzA==" saltValue="unT5FfeqQZoL4aYpMGwO5g==" spinCount="100000" sheet="1" objects="1" scenarios="1" selectLockedCells="1"/>
  <mergeCells count="69">
    <mergeCell ref="J21:K21"/>
    <mergeCell ref="B23:C23"/>
    <mergeCell ref="F23:G23"/>
    <mergeCell ref="I22:K22"/>
    <mergeCell ref="J23:K23"/>
    <mergeCell ref="B21:C21"/>
    <mergeCell ref="F21:G21"/>
    <mergeCell ref="B30:C30"/>
    <mergeCell ref="F30:G30"/>
    <mergeCell ref="J30:K30"/>
    <mergeCell ref="A22:C22"/>
    <mergeCell ref="E22:G22"/>
    <mergeCell ref="B25:C25"/>
    <mergeCell ref="F25:G25"/>
    <mergeCell ref="B26:C26"/>
    <mergeCell ref="F26:G26"/>
    <mergeCell ref="J25:K25"/>
    <mergeCell ref="B29:C29"/>
    <mergeCell ref="F29:G29"/>
    <mergeCell ref="J29:K29"/>
    <mergeCell ref="A28:K28"/>
    <mergeCell ref="B24:C24"/>
    <mergeCell ref="F24:G24"/>
    <mergeCell ref="J8:K8"/>
    <mergeCell ref="I4:K4"/>
    <mergeCell ref="J5:K5"/>
    <mergeCell ref="J6:K6"/>
    <mergeCell ref="J7:K7"/>
    <mergeCell ref="F20:G20"/>
    <mergeCell ref="B12:C12"/>
    <mergeCell ref="A17:C17"/>
    <mergeCell ref="E17:G17"/>
    <mergeCell ref="B18:C18"/>
    <mergeCell ref="F18:G18"/>
    <mergeCell ref="F13:G13"/>
    <mergeCell ref="J18:K18"/>
    <mergeCell ref="J19:K19"/>
    <mergeCell ref="B20:C20"/>
    <mergeCell ref="B9:C9"/>
    <mergeCell ref="J9:K9"/>
    <mergeCell ref="I10:K10"/>
    <mergeCell ref="J11:K11"/>
    <mergeCell ref="F11:G11"/>
    <mergeCell ref="I17:K17"/>
    <mergeCell ref="F12:G12"/>
    <mergeCell ref="J12:K12"/>
    <mergeCell ref="J14:K14"/>
    <mergeCell ref="F14:G14"/>
    <mergeCell ref="F15:G15"/>
    <mergeCell ref="I13:K13"/>
    <mergeCell ref="J15:K15"/>
    <mergeCell ref="B8:C8"/>
    <mergeCell ref="F9:G9"/>
    <mergeCell ref="F10:G10"/>
    <mergeCell ref="B11:C11"/>
    <mergeCell ref="A4:C4"/>
    <mergeCell ref="E8:G8"/>
    <mergeCell ref="F5:G5"/>
    <mergeCell ref="B5:C5"/>
    <mergeCell ref="F6:G6"/>
    <mergeCell ref="B6:C6"/>
    <mergeCell ref="B7:C7"/>
    <mergeCell ref="F7:G7"/>
    <mergeCell ref="E4:G4"/>
    <mergeCell ref="A1:K1"/>
    <mergeCell ref="A2:C2"/>
    <mergeCell ref="F2:G2"/>
    <mergeCell ref="J2:K2"/>
    <mergeCell ref="A3:K3"/>
  </mergeCells>
  <dataValidations count="1">
    <dataValidation type="textLength" operator="equal" allowBlank="1" showInputMessage="1" showErrorMessage="1" sqref="J18:K18 B7:C7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Narrow,Gras"&amp;8ARRIVAL REPORT&amp;C&amp;"Arial Narrow,Gras"&amp;8Rev.0.1 - 14/12/2023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DATA!$F$10:$F$15</xm:f>
          </x14:formula1>
          <xm:sqref>B5:C5</xm:sqref>
        </x14:dataValidation>
        <x14:dataValidation type="list" operator="equal" showInputMessage="1" showErrorMessage="1">
          <x14:formula1>
            <xm:f>DATA!$F$17:$F$19</xm:f>
          </x14:formula1>
          <xm:sqref>B8:C8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topLeftCell="G1" zoomScaleNormal="100" workbookViewId="0">
      <selection activeCell="V23" sqref="V23"/>
    </sheetView>
  </sheetViews>
  <sheetFormatPr baseColWidth="10" defaultRowHeight="12.75" x14ac:dyDescent="0.25"/>
  <cols>
    <col min="1" max="1" width="4.42578125" style="10" bestFit="1" customWidth="1"/>
    <col min="2" max="2" width="24.7109375" style="10" customWidth="1"/>
    <col min="3" max="3" width="13.28515625" style="10" customWidth="1"/>
    <col min="4" max="5" width="11.42578125" style="10"/>
    <col min="6" max="6" width="19.85546875" style="10" customWidth="1"/>
    <col min="7" max="8" width="2.42578125" style="10" customWidth="1"/>
    <col min="9" max="9" width="11.42578125" style="10"/>
    <col min="10" max="11" width="3.28515625" style="10" customWidth="1"/>
    <col min="12" max="12" width="4.140625" style="10" customWidth="1"/>
    <col min="13" max="14" width="3.28515625" style="10" customWidth="1"/>
    <col min="15" max="15" width="3.5703125" style="10" customWidth="1"/>
    <col min="16" max="16" width="3.42578125" style="10" customWidth="1"/>
    <col min="17" max="17" width="6" style="10" customWidth="1"/>
    <col min="18" max="18" width="5" style="9" customWidth="1"/>
    <col min="19" max="19" width="5" style="10" customWidth="1"/>
    <col min="20" max="20" width="13.85546875" style="10" customWidth="1"/>
    <col min="21" max="21" width="17.28515625" style="10" customWidth="1"/>
    <col min="22" max="22" width="8" style="10" customWidth="1"/>
    <col min="23" max="16384" width="11.42578125" style="10"/>
  </cols>
  <sheetData>
    <row r="1" spans="1:30" x14ac:dyDescent="0.25">
      <c r="A1" s="28">
        <v>101</v>
      </c>
      <c r="B1" s="28" t="s">
        <v>2</v>
      </c>
      <c r="C1" s="28" t="s">
        <v>110</v>
      </c>
      <c r="D1" s="29">
        <v>7.9180000000000001</v>
      </c>
      <c r="E1" s="30">
        <v>80920</v>
      </c>
      <c r="F1" s="10" t="s">
        <v>18</v>
      </c>
      <c r="I1" s="25" t="s">
        <v>147</v>
      </c>
      <c r="J1" s="25" t="s">
        <v>47</v>
      </c>
      <c r="K1" s="25" t="s">
        <v>48</v>
      </c>
      <c r="L1" s="25" t="s">
        <v>49</v>
      </c>
      <c r="M1" s="25" t="s">
        <v>50</v>
      </c>
      <c r="N1" s="25" t="s">
        <v>48</v>
      </c>
      <c r="O1" s="77" t="s">
        <v>51</v>
      </c>
      <c r="P1" s="77"/>
      <c r="Q1" s="77"/>
      <c r="R1" s="25" t="s">
        <v>149</v>
      </c>
      <c r="S1" s="27" t="s">
        <v>151</v>
      </c>
      <c r="T1" s="4" t="s">
        <v>150</v>
      </c>
      <c r="U1" s="25" t="s">
        <v>52</v>
      </c>
      <c r="V1" s="77" t="s">
        <v>58</v>
      </c>
      <c r="W1" s="77"/>
      <c r="X1" s="4" t="s">
        <v>137</v>
      </c>
      <c r="Y1" s="4" t="s">
        <v>138</v>
      </c>
      <c r="Z1" s="4" t="s">
        <v>17</v>
      </c>
      <c r="AA1" s="4" t="s">
        <v>139</v>
      </c>
      <c r="AB1" s="4" t="s">
        <v>143</v>
      </c>
      <c r="AC1" s="4" t="s">
        <v>144</v>
      </c>
      <c r="AD1" s="4" t="s">
        <v>145</v>
      </c>
    </row>
    <row r="2" spans="1:30" x14ac:dyDescent="0.25">
      <c r="A2" s="28">
        <v>201</v>
      </c>
      <c r="B2" s="28" t="s">
        <v>3</v>
      </c>
      <c r="C2" s="28" t="s">
        <v>110</v>
      </c>
      <c r="D2" s="29"/>
      <c r="E2" s="30">
        <v>39520</v>
      </c>
      <c r="F2" s="10" t="s">
        <v>65</v>
      </c>
      <c r="I2" s="5" t="s">
        <v>44</v>
      </c>
      <c r="J2" s="6"/>
      <c r="K2" s="6"/>
      <c r="L2" s="7"/>
      <c r="M2" s="6"/>
      <c r="N2" s="6"/>
      <c r="O2" s="6"/>
      <c r="P2" s="6"/>
      <c r="Q2" s="34">
        <f>S2*SIGN(O2)</f>
        <v>0</v>
      </c>
      <c r="R2" s="8">
        <f>IFERROR(TIME(M2,N2,0),"")</f>
        <v>0</v>
      </c>
      <c r="S2" s="8">
        <f>IFERROR(TIME(ABS(O2),ABS(P2),0),"")</f>
        <v>0</v>
      </c>
      <c r="T2" s="9" t="str">
        <f t="shared" ref="T2:T7" si="0">IFERROR(DATE(L2,K2,J2)+R2,"")</f>
        <v/>
      </c>
      <c r="U2" s="35" t="str">
        <f>IFERROR(T2-Q2,"")</f>
        <v/>
      </c>
      <c r="W2" s="5"/>
      <c r="X2" s="31" t="str">
        <f>IFERROR(#REF!,"")</f>
        <v/>
      </c>
      <c r="Y2" s="31" t="str">
        <f>IFERROR(#REF!,"")</f>
        <v/>
      </c>
      <c r="Z2" s="31" t="str">
        <f>IFERROR(#REF!,"")</f>
        <v/>
      </c>
      <c r="AA2" s="31" t="str">
        <f>IFERROR(#REF!,"")</f>
        <v/>
      </c>
      <c r="AB2" s="31"/>
      <c r="AC2" s="31"/>
      <c r="AD2" s="31"/>
    </row>
    <row r="3" spans="1:30" x14ac:dyDescent="0.25">
      <c r="A3" s="28">
        <v>202</v>
      </c>
      <c r="B3" s="28" t="s">
        <v>5</v>
      </c>
      <c r="C3" s="28" t="s">
        <v>110</v>
      </c>
      <c r="D3" s="29"/>
      <c r="E3" s="30">
        <v>39483</v>
      </c>
      <c r="F3" s="10" t="s">
        <v>19</v>
      </c>
      <c r="I3" s="5" t="s">
        <v>45</v>
      </c>
      <c r="J3" s="6"/>
      <c r="K3" s="6"/>
      <c r="L3" s="7"/>
      <c r="M3" s="6"/>
      <c r="N3" s="6"/>
      <c r="O3" s="6"/>
      <c r="P3" s="6"/>
      <c r="Q3" s="34">
        <f t="shared" ref="Q3:Q7" si="1">S3*SIGN(O3)</f>
        <v>0</v>
      </c>
      <c r="R3" s="8">
        <f>IFERROR(TIME(M3,N3,0),"")</f>
        <v>0</v>
      </c>
      <c r="S3" s="8">
        <f t="shared" ref="S3:S7" si="2">IFERROR(TIME(ABS(O3),ABS(P3),0),"")</f>
        <v>0</v>
      </c>
      <c r="T3" s="9" t="str">
        <f t="shared" si="0"/>
        <v/>
      </c>
      <c r="U3" s="35" t="str">
        <f t="shared" ref="U3:U7" si="3">IFERROR(T3-Q3,"")</f>
        <v/>
      </c>
      <c r="V3" s="11" t="str">
        <f>IFERROR(((24*(U2-U3))),"")</f>
        <v/>
      </c>
      <c r="W3" s="5" t="s">
        <v>59</v>
      </c>
      <c r="X3" s="31" t="str">
        <f>IFERROR(#REF!,"")</f>
        <v/>
      </c>
      <c r="Y3" s="31" t="str">
        <f>IFERROR(#REF!,"")</f>
        <v/>
      </c>
      <c r="Z3" s="31" t="str">
        <f>IFERROR(#REF!,"")</f>
        <v/>
      </c>
      <c r="AA3" s="31" t="str">
        <f>IFERROR(#REF!,"")</f>
        <v/>
      </c>
      <c r="AB3" s="31" t="str">
        <f>IF($U$3="","",IF($U$4="",(X3+Y3)-(X2+Y2),""))</f>
        <v/>
      </c>
      <c r="AC3" s="31" t="str">
        <f>IF($U$3="","",IF($U$4="",Z3-Z2,""))</f>
        <v/>
      </c>
      <c r="AD3" s="31" t="str">
        <f>IF($U$3="","",IF($U$4="",AA3-AA2,""))</f>
        <v/>
      </c>
    </row>
    <row r="4" spans="1:30" x14ac:dyDescent="0.25">
      <c r="A4" s="28">
        <v>301</v>
      </c>
      <c r="B4" s="28" t="s">
        <v>4</v>
      </c>
      <c r="C4" s="28" t="s">
        <v>111</v>
      </c>
      <c r="D4" s="29">
        <v>4.9000000000000004</v>
      </c>
      <c r="E4" s="30">
        <v>19392</v>
      </c>
      <c r="F4" s="10" t="s">
        <v>57</v>
      </c>
      <c r="I4" s="5" t="s">
        <v>46</v>
      </c>
      <c r="J4" s="6"/>
      <c r="K4" s="6"/>
      <c r="L4" s="7"/>
      <c r="M4" s="6"/>
      <c r="N4" s="6"/>
      <c r="O4" s="6"/>
      <c r="P4" s="6"/>
      <c r="Q4" s="34">
        <f t="shared" si="1"/>
        <v>0</v>
      </c>
      <c r="R4" s="8">
        <f t="shared" ref="R4:R7" si="4">IFERROR(TIME(M4,N4,0),"")</f>
        <v>0</v>
      </c>
      <c r="S4" s="8">
        <f t="shared" si="2"/>
        <v>0</v>
      </c>
      <c r="T4" s="9" t="str">
        <f t="shared" si="0"/>
        <v/>
      </c>
      <c r="U4" s="35" t="str">
        <f t="shared" si="3"/>
        <v/>
      </c>
      <c r="V4" s="11" t="str">
        <f>IFERROR(((24*(U4-U3))),"")</f>
        <v/>
      </c>
      <c r="W4" s="5" t="s">
        <v>60</v>
      </c>
      <c r="X4" s="31" t="str">
        <f>IFERROR(#REF!,"")</f>
        <v/>
      </c>
      <c r="Y4" s="31" t="str">
        <f>IFERROR(#REF!,"")</f>
        <v/>
      </c>
      <c r="Z4" s="31" t="str">
        <f>IFERROR(#REF!,"")</f>
        <v/>
      </c>
      <c r="AA4" s="31" t="str">
        <f>IFERROR(#REF!,"")</f>
        <v/>
      </c>
      <c r="AB4" s="31" t="str">
        <f>IF($U$4&lt;&gt;"",(X3+Y3)-(X4+Y4),"")</f>
        <v/>
      </c>
      <c r="AC4" s="31" t="str">
        <f>IF($U$4&lt;&gt;"",Z3-Z4,"")</f>
        <v/>
      </c>
      <c r="AD4" s="31" t="str">
        <f>IF($U$4&lt;&gt;"",AA3-AA4,"")</f>
        <v/>
      </c>
    </row>
    <row r="5" spans="1:30" x14ac:dyDescent="0.25">
      <c r="A5" s="28">
        <v>302</v>
      </c>
      <c r="B5" s="28" t="s">
        <v>6</v>
      </c>
      <c r="C5" s="28" t="s">
        <v>111</v>
      </c>
      <c r="D5" s="29">
        <v>4.9000000000000004</v>
      </c>
      <c r="E5" s="30">
        <v>19277</v>
      </c>
      <c r="F5" s="10" t="s">
        <v>84</v>
      </c>
      <c r="I5" s="5" t="s">
        <v>61</v>
      </c>
      <c r="J5" s="6"/>
      <c r="K5" s="6"/>
      <c r="L5" s="7"/>
      <c r="M5" s="6"/>
      <c r="N5" s="6"/>
      <c r="O5" s="6"/>
      <c r="P5" s="6"/>
      <c r="Q5" s="34">
        <f t="shared" si="1"/>
        <v>0</v>
      </c>
      <c r="R5" s="8">
        <f t="shared" si="4"/>
        <v>0</v>
      </c>
      <c r="S5" s="8">
        <f t="shared" si="2"/>
        <v>0</v>
      </c>
      <c r="T5" s="9" t="str">
        <f t="shared" si="0"/>
        <v/>
      </c>
      <c r="U5" s="35" t="str">
        <f t="shared" si="3"/>
        <v/>
      </c>
      <c r="V5" s="11"/>
      <c r="W5" s="5"/>
      <c r="X5" s="31"/>
      <c r="Y5" s="31"/>
      <c r="Z5" s="31"/>
      <c r="AA5" s="31"/>
    </row>
    <row r="6" spans="1:30" x14ac:dyDescent="0.25">
      <c r="A6" s="10">
        <v>303</v>
      </c>
      <c r="B6" s="10" t="s">
        <v>15</v>
      </c>
      <c r="C6" s="10" t="s">
        <v>112</v>
      </c>
      <c r="D6" s="29">
        <v>4.6425599999999996</v>
      </c>
      <c r="E6" s="30">
        <v>39971</v>
      </c>
      <c r="F6" s="10" t="s">
        <v>85</v>
      </c>
      <c r="I6" s="5" t="s">
        <v>62</v>
      </c>
      <c r="J6" s="6"/>
      <c r="K6" s="6"/>
      <c r="L6" s="7"/>
      <c r="M6" s="6"/>
      <c r="N6" s="6"/>
      <c r="O6" s="6"/>
      <c r="P6" s="6"/>
      <c r="Q6" s="34">
        <f t="shared" si="1"/>
        <v>0</v>
      </c>
      <c r="R6" s="8">
        <f t="shared" si="4"/>
        <v>0</v>
      </c>
      <c r="S6" s="8">
        <f t="shared" si="2"/>
        <v>0</v>
      </c>
      <c r="T6" s="9" t="str">
        <f t="shared" si="0"/>
        <v/>
      </c>
      <c r="U6" s="35" t="str">
        <f t="shared" si="3"/>
        <v/>
      </c>
      <c r="V6" s="11" t="str">
        <f>IFERROR(((24*(U6-U5))),"")</f>
        <v/>
      </c>
      <c r="W6" s="5" t="s">
        <v>63</v>
      </c>
      <c r="X6" s="31"/>
      <c r="Y6" s="31"/>
      <c r="Z6" s="31"/>
      <c r="AA6" s="31"/>
    </row>
    <row r="7" spans="1:30" x14ac:dyDescent="0.25">
      <c r="A7" s="28">
        <v>401</v>
      </c>
      <c r="B7" s="28" t="s">
        <v>7</v>
      </c>
      <c r="C7" s="28" t="s">
        <v>112</v>
      </c>
      <c r="D7" s="29"/>
      <c r="E7" s="30">
        <v>4999</v>
      </c>
      <c r="F7" s="10" t="s">
        <v>86</v>
      </c>
      <c r="I7" s="5" t="s">
        <v>64</v>
      </c>
      <c r="J7" s="6"/>
      <c r="K7" s="6"/>
      <c r="L7" s="7"/>
      <c r="M7" s="6"/>
      <c r="N7" s="6"/>
      <c r="O7" s="6"/>
      <c r="P7" s="6"/>
      <c r="Q7" s="34">
        <f t="shared" si="1"/>
        <v>0</v>
      </c>
      <c r="R7" s="8">
        <f t="shared" si="4"/>
        <v>0</v>
      </c>
      <c r="S7" s="8">
        <f t="shared" si="2"/>
        <v>0</v>
      </c>
      <c r="T7" s="9" t="str">
        <f t="shared" si="0"/>
        <v/>
      </c>
      <c r="U7" s="35" t="str">
        <f t="shared" si="3"/>
        <v/>
      </c>
      <c r="V7" s="11"/>
      <c r="W7" s="5"/>
      <c r="X7" s="31"/>
      <c r="Y7" s="31"/>
      <c r="Z7" s="31"/>
      <c r="AA7" s="31"/>
    </row>
    <row r="8" spans="1:30" x14ac:dyDescent="0.25">
      <c r="A8" s="28">
        <v>402</v>
      </c>
      <c r="B8" s="28" t="s">
        <v>8</v>
      </c>
      <c r="C8" s="28" t="s">
        <v>112</v>
      </c>
      <c r="D8" s="29"/>
      <c r="E8" s="30">
        <v>4999</v>
      </c>
    </row>
    <row r="9" spans="1:30" x14ac:dyDescent="0.25">
      <c r="A9" s="28">
        <v>453</v>
      </c>
      <c r="B9" s="28" t="s">
        <v>11</v>
      </c>
      <c r="C9" s="28" t="s">
        <v>110</v>
      </c>
      <c r="D9" s="29">
        <v>8.8188800000000001</v>
      </c>
      <c r="E9" s="30">
        <v>94575</v>
      </c>
    </row>
    <row r="10" spans="1:30" x14ac:dyDescent="0.25">
      <c r="A10" s="28">
        <v>454</v>
      </c>
      <c r="B10" s="28" t="s">
        <v>12</v>
      </c>
      <c r="C10" s="28" t="s">
        <v>110</v>
      </c>
      <c r="D10" s="29">
        <v>8.8188800000000001</v>
      </c>
      <c r="E10" s="30">
        <v>94575</v>
      </c>
      <c r="F10" s="10" t="s">
        <v>81</v>
      </c>
    </row>
    <row r="11" spans="1:30" x14ac:dyDescent="0.25">
      <c r="A11" s="28">
        <v>503</v>
      </c>
      <c r="B11" s="28" t="s">
        <v>13</v>
      </c>
      <c r="C11" s="28" t="s">
        <v>111</v>
      </c>
      <c r="D11" s="29">
        <v>3.7370000000000001</v>
      </c>
      <c r="E11" s="30">
        <v>9612</v>
      </c>
      <c r="F11" s="10" t="s">
        <v>109</v>
      </c>
    </row>
    <row r="12" spans="1:30" x14ac:dyDescent="0.25">
      <c r="A12" s="28">
        <v>504</v>
      </c>
      <c r="B12" s="28" t="s">
        <v>14</v>
      </c>
      <c r="C12" s="28" t="s">
        <v>111</v>
      </c>
      <c r="D12" s="29">
        <v>3.7370000000000001</v>
      </c>
      <c r="E12" s="30">
        <v>9670</v>
      </c>
      <c r="F12" s="10" t="s">
        <v>108</v>
      </c>
    </row>
    <row r="13" spans="1:30" x14ac:dyDescent="0.25">
      <c r="A13" s="28">
        <v>801</v>
      </c>
      <c r="B13" s="28" t="s">
        <v>9</v>
      </c>
      <c r="C13" s="28" t="s">
        <v>111</v>
      </c>
      <c r="D13" s="29">
        <v>4.4650800000000004</v>
      </c>
      <c r="E13" s="30">
        <v>26353</v>
      </c>
      <c r="F13" s="10" t="s">
        <v>83</v>
      </c>
    </row>
    <row r="14" spans="1:30" x14ac:dyDescent="0.25">
      <c r="A14" s="28">
        <v>802</v>
      </c>
      <c r="B14" s="28" t="s">
        <v>10</v>
      </c>
      <c r="C14" s="28" t="s">
        <v>111</v>
      </c>
      <c r="D14" s="29">
        <v>4.4650800000000004</v>
      </c>
      <c r="E14" s="30">
        <v>26375</v>
      </c>
      <c r="F14" s="10" t="s">
        <v>80</v>
      </c>
    </row>
    <row r="15" spans="1:30" x14ac:dyDescent="0.25">
      <c r="F15" s="10" t="s">
        <v>82</v>
      </c>
    </row>
    <row r="17" spans="2:30" x14ac:dyDescent="0.25">
      <c r="F17" s="10" t="s">
        <v>88</v>
      </c>
      <c r="I17" s="27"/>
      <c r="J17" s="27"/>
      <c r="K17" s="27"/>
      <c r="L17" s="27"/>
      <c r="M17" s="27"/>
      <c r="N17" s="27"/>
      <c r="O17" s="77"/>
      <c r="P17" s="77"/>
      <c r="Q17" s="27"/>
      <c r="R17" s="4"/>
      <c r="S17" s="27"/>
      <c r="T17" s="77"/>
      <c r="U17" s="77"/>
      <c r="V17" s="4"/>
      <c r="W17" s="4"/>
      <c r="X17" s="4"/>
      <c r="Y17" s="4"/>
      <c r="Z17" s="4"/>
      <c r="AA17" s="4"/>
      <c r="AB17" s="4"/>
    </row>
    <row r="18" spans="2:30" x14ac:dyDescent="0.25">
      <c r="F18" s="10" t="s">
        <v>89</v>
      </c>
      <c r="I18" s="27" t="s">
        <v>148</v>
      </c>
      <c r="J18" s="27" t="s">
        <v>47</v>
      </c>
      <c r="K18" s="27" t="s">
        <v>48</v>
      </c>
      <c r="L18" s="27" t="s">
        <v>49</v>
      </c>
      <c r="M18" s="27" t="s">
        <v>50</v>
      </c>
      <c r="N18" s="27" t="s">
        <v>48</v>
      </c>
      <c r="O18" s="77" t="s">
        <v>51</v>
      </c>
      <c r="P18" s="77"/>
      <c r="Q18" s="77"/>
      <c r="R18" s="27" t="s">
        <v>149</v>
      </c>
      <c r="S18" s="27" t="s">
        <v>151</v>
      </c>
      <c r="T18" s="4" t="s">
        <v>150</v>
      </c>
      <c r="U18" s="27" t="s">
        <v>52</v>
      </c>
      <c r="V18" s="77" t="s">
        <v>58</v>
      </c>
      <c r="W18" s="77"/>
      <c r="X18" s="4" t="s">
        <v>137</v>
      </c>
      <c r="Y18" s="4" t="s">
        <v>138</v>
      </c>
      <c r="Z18" s="4" t="s">
        <v>17</v>
      </c>
      <c r="AA18" s="4" t="s">
        <v>139</v>
      </c>
      <c r="AB18" s="4" t="s">
        <v>143</v>
      </c>
      <c r="AC18" s="4" t="s">
        <v>144</v>
      </c>
      <c r="AD18" s="4" t="s">
        <v>145</v>
      </c>
    </row>
    <row r="19" spans="2:30" x14ac:dyDescent="0.25">
      <c r="B19" s="10" t="s">
        <v>121</v>
      </c>
      <c r="C19" s="10" t="s">
        <v>121</v>
      </c>
      <c r="F19" s="10" t="s">
        <v>90</v>
      </c>
      <c r="I19" s="5"/>
      <c r="J19" s="6"/>
      <c r="K19" s="6"/>
      <c r="L19" s="7"/>
      <c r="M19" s="6"/>
      <c r="N19" s="6"/>
      <c r="O19" s="6"/>
      <c r="P19" s="6"/>
      <c r="Q19" s="34"/>
      <c r="R19" s="8"/>
      <c r="S19" s="8"/>
      <c r="T19" s="9"/>
      <c r="U19" s="35"/>
      <c r="W19" s="5"/>
      <c r="X19" s="31"/>
      <c r="Y19" s="31"/>
      <c r="Z19" s="31"/>
      <c r="AA19" s="31"/>
      <c r="AB19" s="31"/>
      <c r="AC19" s="31"/>
      <c r="AD19" s="31"/>
    </row>
    <row r="20" spans="2:30" x14ac:dyDescent="0.25">
      <c r="B20" s="10" t="s">
        <v>120</v>
      </c>
      <c r="C20" s="10" t="s">
        <v>125</v>
      </c>
      <c r="I20" s="5" t="s">
        <v>45</v>
      </c>
      <c r="J20" s="6" t="str">
        <f>IF(LEN(ARRIVAL!B18)=8,IFERROR(LEFT(ARRIVAL!B18,2),""),IFERROR(LEFT(ARRIVAL!B18,1),""))</f>
        <v>3</v>
      </c>
      <c r="K20" s="6" t="str">
        <f>IF(LEN(ARRIVAL!B18)=8,IFERROR(MID(ARRIVAL!B18,3,2),""),IFERROR(MID(ARRIVAL!B18,2,2),""))</f>
        <v>04</v>
      </c>
      <c r="L20" s="7" t="str">
        <f>IFERROR(RIGHT(ARRIVAL!B18,4),"")</f>
        <v>2024</v>
      </c>
      <c r="M20" s="6" t="str">
        <f>IFERROR(IF(LEN(ARRIVAL!B19)=3,LEFT(ARRIVAL!B19,1),IF(LEN(ARRIVAL!B19)=4,LEFT(ARRIVAL!B19,2),"")),"")</f>
        <v>13</v>
      </c>
      <c r="N20" s="6" t="str">
        <f>IFERROR(RIGHT(ARRIVAL!B19,2),"")</f>
        <v>00</v>
      </c>
      <c r="O20" s="6" t="str">
        <f>IFERROR(IF(LEN(ARRIVAL!C19)=3,LEFT(ARRIVAL!C19,1),IF(LEN(ARRIVAL!C19)=4,LEFT(ARRIVAL!C19,2),"")),"")</f>
        <v>1</v>
      </c>
      <c r="P20" s="6" t="str">
        <f>IFERROR(RIGHT(ARRIVAL!C19,2),"")</f>
        <v>00</v>
      </c>
      <c r="Q20" s="34">
        <f>IFERROR(S20*SIGN(O20),"")</f>
        <v>4.1666666666666664E-2</v>
      </c>
      <c r="R20" s="8">
        <f>IFERROR(TIME(M20,N20,0),"")</f>
        <v>0.54166666666666663</v>
      </c>
      <c r="S20" s="8">
        <f t="shared" ref="S20:S23" si="5">IFERROR(TIME(ABS(O20),ABS(P20),0),"")</f>
        <v>4.1666666666666664E-2</v>
      </c>
      <c r="T20" s="9">
        <f>IFERROR(DATE(L20,K20,J20)+R20,"")</f>
        <v>45385.541666666664</v>
      </c>
      <c r="U20" s="35">
        <f t="shared" ref="U20:U23" si="6">IFERROR(T20-Q20,"")</f>
        <v>45385.5</v>
      </c>
      <c r="V20" s="11"/>
      <c r="W20" s="5" t="s">
        <v>59</v>
      </c>
      <c r="X20" s="31">
        <f>IFERROR(ARRIVAL!B23,"")</f>
        <v>1107</v>
      </c>
      <c r="Y20" s="31">
        <f>IFERROR(ARRIVAL!B24,"")</f>
        <v>0</v>
      </c>
      <c r="Z20" s="31">
        <f>IFERROR(ARRIVAL!B25,"")</f>
        <v>415.76</v>
      </c>
      <c r="AA20" s="31">
        <f>IFERROR(ARRIVAL!B26,"")</f>
        <v>168105</v>
      </c>
      <c r="AB20" s="31"/>
      <c r="AC20" s="31"/>
      <c r="AD20" s="31"/>
    </row>
    <row r="21" spans="2:30" x14ac:dyDescent="0.25">
      <c r="B21" s="10" t="s">
        <v>133</v>
      </c>
      <c r="C21" s="10" t="s">
        <v>128</v>
      </c>
      <c r="I21" s="5" t="s">
        <v>46</v>
      </c>
      <c r="J21" s="6" t="str">
        <f>IF(LEN(ARRIVAL!F18)=8,IFERROR(LEFT(ARRIVAL!F18,2),""),IFERROR(LEFT(ARRIVAL!F18,1),""))</f>
        <v>7</v>
      </c>
      <c r="K21" s="6" t="str">
        <f>IF(LEN(ARRIVAL!F18)=8,IFERROR(MID(ARRIVAL!F18,3,2),""),IFERROR(MID(ARRIVAL!F18,2,2),""))</f>
        <v>04</v>
      </c>
      <c r="L21" s="7" t="str">
        <f>IFERROR(RIGHT(ARRIVAL!F18,4),"")</f>
        <v>2024</v>
      </c>
      <c r="M21" s="6" t="str">
        <f>IFERROR(IF(LEN(ARRIVAL!F19)=3,LEFT(ARRIVAL!F19,1),IF(LEN(ARRIVAL!F19)=4,LEFT(ARRIVAL!F19,2),"")),"")</f>
        <v>15</v>
      </c>
      <c r="N21" s="6" t="str">
        <f>IFERROR(RIGHT(ARRIVAL!F19,2),"")</f>
        <v>00</v>
      </c>
      <c r="O21" s="6" t="str">
        <f>IFERROR(IF(LEN(ARRIVAL!G19)=3,LEFT(ARRIVAL!G19,1),IF(LEN(ARRIVAL!G19)=4,LEFT(ARRIVAL!G19,2),"")),"")</f>
        <v>2</v>
      </c>
      <c r="P21" s="6" t="str">
        <f>IFERROR(RIGHT(ARRIVAL!G19,2),"")</f>
        <v>00</v>
      </c>
      <c r="Q21" s="34">
        <f t="shared" ref="Q21:Q23" si="7">IFERROR(S21*SIGN(O21),"")</f>
        <v>8.3333333333333329E-2</v>
      </c>
      <c r="R21" s="8">
        <f t="shared" ref="R21:R23" si="8">IFERROR(TIME(M21,N21,0),"")</f>
        <v>0.625</v>
      </c>
      <c r="S21" s="8">
        <f t="shared" si="5"/>
        <v>8.3333333333333329E-2</v>
      </c>
      <c r="T21" s="9">
        <f>IFERROR(DATE(L21,K21,J21)+R21,"")</f>
        <v>45389.625</v>
      </c>
      <c r="U21" s="35">
        <f t="shared" si="6"/>
        <v>45389.541666666664</v>
      </c>
      <c r="V21" s="11">
        <f>IFERROR(((24*(U21-U20))),"")</f>
        <v>96.999999999941792</v>
      </c>
      <c r="W21" s="5" t="s">
        <v>60</v>
      </c>
      <c r="X21" s="31">
        <f>IFERROR(ARRIVAL!F23,"")</f>
        <v>1107</v>
      </c>
      <c r="Y21" s="31">
        <f>IFERROR(ARRIVAL!F24,"")</f>
        <v>0</v>
      </c>
      <c r="Z21" s="31">
        <f>IFERROR(ARRIVAL!F25,"")</f>
        <v>411.04</v>
      </c>
      <c r="AA21" s="31">
        <f>IFERROR(ARRIVAL!F26,"")</f>
        <v>167480</v>
      </c>
      <c r="AB21" s="31">
        <f>IF($U$21&lt;&gt;"",(X20+Y20)-(X21+Y21),"")</f>
        <v>0</v>
      </c>
      <c r="AC21" s="31">
        <f>IF($U$21&lt;&gt;"",Z20-Z21,"")</f>
        <v>4.7199999999999704</v>
      </c>
      <c r="AD21" s="31">
        <f>IF($U$21&lt;&gt;"",AA20-AA21,"")</f>
        <v>625</v>
      </c>
    </row>
    <row r="22" spans="2:30" x14ac:dyDescent="0.25">
      <c r="B22" s="10" t="s">
        <v>118</v>
      </c>
      <c r="C22" s="10" t="s">
        <v>130</v>
      </c>
      <c r="F22" s="10" t="s">
        <v>105</v>
      </c>
      <c r="I22" s="5" t="s">
        <v>61</v>
      </c>
      <c r="J22" s="6" t="str">
        <f>IF(LEN(ARRIVAL!J19)=8,IFERROR(LEFT(ARRIVAL!J19,2),""),IFERROR(LEFT(ARRIVAL!J19,1),""))</f>
        <v/>
      </c>
      <c r="K22" s="6" t="str">
        <f>IF(LEN(ARRIVAL!J19)=8,IFERROR(MID(ARRIVAL!J19,3,2),""),IFERROR(MID(ARRIVAL!J19,2,2),""))</f>
        <v/>
      </c>
      <c r="L22" s="7" t="str">
        <f>IFERROR(RIGHT(ARRIVAL!J19,4),"")</f>
        <v/>
      </c>
      <c r="M22" s="6" t="str">
        <f>IFERROR(IF(LEN(ARRIVAL!J20)=3,LEFT(ARRIVAL!J20,1),IF(LEN(ARRIVAL!J20)=4,LEFT(ARRIVAL!J20,2),"")),"")</f>
        <v/>
      </c>
      <c r="N22" s="6" t="str">
        <f>IFERROR(RIGHT(ARRIVAL!J20,2),"")</f>
        <v/>
      </c>
      <c r="O22" s="6" t="str">
        <f>IFERROR(IF(LEN(ARRIVAL!K20)=3,LEFT(ARRIVAL!K20,1),IF(LEN(ARRIVAL!K20)=4,LEFT(ARRIVAL!K20,2),"")),"")</f>
        <v/>
      </c>
      <c r="P22" s="6" t="str">
        <f>IFERROR(RIGHT(ARRIVAL!K20,2),"")</f>
        <v/>
      </c>
      <c r="Q22" s="34" t="str">
        <f t="shared" si="7"/>
        <v/>
      </c>
      <c r="R22" s="8" t="str">
        <f t="shared" si="8"/>
        <v/>
      </c>
      <c r="S22" s="8" t="str">
        <f t="shared" si="5"/>
        <v/>
      </c>
      <c r="T22" s="9" t="str">
        <f>IFERROR(DATE(L22,K22,J22)+R22,"")</f>
        <v/>
      </c>
      <c r="U22" s="35" t="str">
        <f t="shared" si="6"/>
        <v/>
      </c>
      <c r="V22" s="11"/>
      <c r="W22" s="5"/>
      <c r="X22" s="31"/>
      <c r="Y22" s="31"/>
      <c r="Z22" s="31"/>
      <c r="AA22" s="31"/>
    </row>
    <row r="23" spans="2:30" x14ac:dyDescent="0.25">
      <c r="B23" s="10" t="s">
        <v>115</v>
      </c>
      <c r="C23" s="10" t="s">
        <v>129</v>
      </c>
      <c r="F23" s="10" t="s">
        <v>102</v>
      </c>
      <c r="I23" s="5" t="s">
        <v>62</v>
      </c>
      <c r="J23" s="6" t="str">
        <f>IF(LEN(ARRIVAL!J23)=8,IFERROR(LEFT(ARRIVAL!J23,2),""),IFERROR(LEFT(ARRIVAL!J23,1),""))</f>
        <v/>
      </c>
      <c r="K23" s="6" t="str">
        <f>IF(LEN(ARRIVAL!J23)=8,IFERROR(MID(ARRIVAL!J23,3,2),""),IFERROR(MID(ARRIVAL!J23,2,2),""))</f>
        <v/>
      </c>
      <c r="L23" s="7" t="str">
        <f>IFERROR(RIGHT(ARRIVAL!J23,4),"")</f>
        <v/>
      </c>
      <c r="M23" s="6" t="str">
        <f>IFERROR(IF(LEN(ARRIVAL!J24)=3,LEFT(ARRIVAL!J24,1),IF(LEN(ARRIVAL!J24)=4,LEFT(ARRIVAL!J24,2),"")),"")</f>
        <v/>
      </c>
      <c r="N23" s="6" t="str">
        <f>IFERROR(RIGHT(ARRIVAL!J24,2),"")</f>
        <v/>
      </c>
      <c r="O23" s="6" t="str">
        <f>IFERROR(IF(LEN(ARRIVAL!K24)=3,LEFT(ARRIVAL!K24,1),IF(LEN(ARRIVAL!K24)=4,LEFT(ARRIVAL!K24,2),"")),"")</f>
        <v/>
      </c>
      <c r="P23" s="6" t="str">
        <f>IFERROR(RIGHT(ARRIVAL!K24,2),"")</f>
        <v/>
      </c>
      <c r="Q23" s="34" t="str">
        <f t="shared" si="7"/>
        <v/>
      </c>
      <c r="R23" s="8" t="str">
        <f t="shared" si="8"/>
        <v/>
      </c>
      <c r="S23" s="8" t="str">
        <f t="shared" si="5"/>
        <v/>
      </c>
      <c r="T23" s="9" t="str">
        <f>IFERROR(DATE(L23,K23,J23)+R23,"")</f>
        <v/>
      </c>
      <c r="U23" s="35" t="str">
        <f t="shared" si="6"/>
        <v/>
      </c>
      <c r="V23" s="11" t="str">
        <f>IFERROR(((24*(U23-U22))),"")</f>
        <v/>
      </c>
      <c r="W23" s="5" t="s">
        <v>63</v>
      </c>
      <c r="X23" s="31"/>
      <c r="Y23" s="31"/>
      <c r="Z23" s="31"/>
      <c r="AA23" s="31"/>
    </row>
    <row r="24" spans="2:30" x14ac:dyDescent="0.25">
      <c r="B24" s="10" t="s">
        <v>132</v>
      </c>
      <c r="C24" s="10" t="s">
        <v>127</v>
      </c>
      <c r="F24" s="10" t="s">
        <v>97</v>
      </c>
      <c r="I24" s="5"/>
      <c r="J24" s="6"/>
      <c r="K24" s="6"/>
      <c r="L24" s="7"/>
      <c r="M24" s="6"/>
      <c r="N24" s="6"/>
      <c r="O24" s="6"/>
      <c r="P24" s="6"/>
      <c r="Q24" s="34"/>
      <c r="R24" s="8"/>
      <c r="S24" s="8"/>
      <c r="T24" s="9"/>
      <c r="U24" s="35"/>
      <c r="V24" s="11"/>
      <c r="W24" s="5"/>
      <c r="X24" s="31"/>
      <c r="Y24" s="31"/>
      <c r="Z24" s="31"/>
      <c r="AA24" s="31"/>
    </row>
    <row r="25" spans="2:30" x14ac:dyDescent="0.25">
      <c r="B25" s="10" t="s">
        <v>119</v>
      </c>
      <c r="C25" s="10" t="s">
        <v>126</v>
      </c>
      <c r="F25" s="10" t="s">
        <v>100</v>
      </c>
    </row>
    <row r="26" spans="2:30" x14ac:dyDescent="0.25">
      <c r="B26" s="10" t="s">
        <v>122</v>
      </c>
      <c r="C26" s="10" t="s">
        <v>124</v>
      </c>
      <c r="F26" s="10" t="s">
        <v>101</v>
      </c>
    </row>
    <row r="27" spans="2:30" x14ac:dyDescent="0.25">
      <c r="B27" s="10" t="s">
        <v>114</v>
      </c>
      <c r="C27" s="10" t="s">
        <v>123</v>
      </c>
      <c r="F27" s="10" t="s">
        <v>103</v>
      </c>
    </row>
    <row r="28" spans="2:30" x14ac:dyDescent="0.25">
      <c r="B28" s="10" t="s">
        <v>116</v>
      </c>
      <c r="C28" s="10" t="s">
        <v>131</v>
      </c>
      <c r="F28" s="10" t="s">
        <v>104</v>
      </c>
    </row>
    <row r="29" spans="2:30" x14ac:dyDescent="0.25">
      <c r="B29" s="10" t="s">
        <v>113</v>
      </c>
      <c r="F29" s="10" t="s">
        <v>99</v>
      </c>
    </row>
    <row r="30" spans="2:30" x14ac:dyDescent="0.25">
      <c r="B30" s="10" t="s">
        <v>117</v>
      </c>
      <c r="F30" s="10" t="s">
        <v>83</v>
      </c>
      <c r="J30" s="10" t="str">
        <f>IF(DATA!AD20&lt;&gt;"",DATA!AD20,DATA!AD4)</f>
        <v/>
      </c>
    </row>
    <row r="31" spans="2:30" x14ac:dyDescent="0.25">
      <c r="F31" s="10" t="s">
        <v>98</v>
      </c>
    </row>
    <row r="34" spans="6:6" x14ac:dyDescent="0.25">
      <c r="F34" s="10" t="s">
        <v>81</v>
      </c>
    </row>
    <row r="35" spans="6:6" x14ac:dyDescent="0.25">
      <c r="F35" s="10" t="s">
        <v>106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ARRIVAL</vt:lpstr>
      <vt:lpstr>DATA</vt:lpstr>
      <vt:lpstr>ARRIVAL!Zone_d_impression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Captain</cp:lastModifiedBy>
  <cp:lastPrinted>2024-04-08T00:17:56Z</cp:lastPrinted>
  <dcterms:created xsi:type="dcterms:W3CDTF">2023-11-13T10:14:48Z</dcterms:created>
  <dcterms:modified xsi:type="dcterms:W3CDTF">2024-04-15T19:27:33Z</dcterms:modified>
</cp:coreProperties>
</file>