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170" windowHeight="1146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<sst xmlns="http://schemas.openxmlformats.org/spreadsheetml/2006/main" count="211" uniqueCount="156">
  <si>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</si>
  <si>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</si>
  <si>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</si>
  <si>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</si>
  <si>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</si>
  <si>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</si>
  <si>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</si>
  <si>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</si>
  <si>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</si>
  <si>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</si>
  <si>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</si>
  <si>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</si>
  <si>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</si>
  <si>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</si>
  <si>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</si>
  <si>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</si>
  <si>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</si>
  <si>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</si>
  <si>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</si>
  <si>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</si>
  <si>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</si>
  <si>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</si>
  <si>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</si>
  <si>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</si>
  <si>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</si>
  <si>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</si>
  <si>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</si>
  <si>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</si>
  <si>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</si>
  <si>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</si>
  <si>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</si>
  <si>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</si>
  <si>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</si>
  <si>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</si>
  <si>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</si>
  <si>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</si>
  <si>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</si>
  <si>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</si>
  <si>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</si>
  <si>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</si>
  <si>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</si>
  <si>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</si>
  <si>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</si>
  <si>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</si>
  <si>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</si>
  <si>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</si>
  <si>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</si>
  <si>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</si>
  <si>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</si>
  <si>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</si>
  <si>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</si>
  <si>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</si>
  <si>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</si>
  <si>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</si>
  <si>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</si>
  <si>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</si>
  <si>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</si>
  <si>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</si>
  <si>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</si>
  <si>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</si>
  <si>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</si>
  <si>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</si>
  <si>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</si>
  <si>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</si>
  <si>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</si>
  <si>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</si>
  <si>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</si>
  <si>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</si>
  <si>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</si>
  <si>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</si>
  <si>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</si>
  <si>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</si>
  <si>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</si>
  <si>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</si>
  <si>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</si>
  <si>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</si>
  <si>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</si>
  <si>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</si>
  <si>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</si>
  <si>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</si>
  <si>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</si>
  <si>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</si>
  <si>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</si>
  <si>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</si>
  <si>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</si>
  <si>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</si>
  <si>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</si>
  <si>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</si>
  <si>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</si>
  <si>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</si>
  <si>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</si>
  <si>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</si>
  <si>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</si>
  <si>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</si>
  <si>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</si>
  <si>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</si>
  <si>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</si>
  <si>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</si>
  <si>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</si>
  <si>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</si>
  <si>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</si>
  <si>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</si>
  <si>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</si>
  <si>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</si>
  <si>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</si>
  <si>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</si>
  <si>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</si>
  <si>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</si>
  <si>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</si>
  <si>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</si>
  <si>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</si>
  <si>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</si>
  <si>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</si>
  <si>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</si>
  <si>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</si>
  <si>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</si>
  <si>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</si>
  <si>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</si>
  <si>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</si>
  <si>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</si>
  <si>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</si>
  <si>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</si>
  <si>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</si>
  <si>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</si>
  <si>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</si>
  <si>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</si>
  <si>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</si>
  <si>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</si>
  <si>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</si>
  <si>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</si>
  <si>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</si>
  <si>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</si>
  <si>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</si>
  <si>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</si>
  <si>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</si>
  <si>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</si>
  <si>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</si>
  <si>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</si>
  <si>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</si>
  <si>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</si>
  <si>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</si>
  <si>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</si>
  <si>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</si>
  <si>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</si>
  <si>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</si>
  <si>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</si>
  <si>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</si>
  <si>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</si>
  <si>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</si>
  <si>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</si>
  <si>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</si>
  <si>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</si>
  <si>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</si>
  <si>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030/24</t>
  </si>
  <si>
    <t>DZAZW</t>
  </si>
  <si>
    <t>SW/4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</si>
</sst>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F15" sqref="F15:G1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3" t="s">
        <v>93</v>
      </c>
      <c r="B4" s="43"/>
      <c r="C4" s="43"/>
      <c r="E4" s="71" t="s">
        <v>136</v>
      </c>
      <c r="F4" s="72"/>
      <c r="G4" s="73"/>
      <c r="I4" s="43" t="s">
        <v>68</v>
      </c>
      <c r="J4" s="43"/>
      <c r="K4" s="43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153</v>
      </c>
      <c r="C6" s="64"/>
      <c r="E6" s="2" t="s">
        <v>29</v>
      </c>
      <c r="F6" s="67">
        <v>3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4">
        <v>563.1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43" t="s">
        <v>69</v>
      </c>
      <c r="F8" s="43"/>
      <c r="G8" s="43"/>
      <c r="I8" s="2" t="s">
        <v>25</v>
      </c>
      <c r="J8" s="53">
        <v>387.4</v>
      </c>
      <c r="K8" s="53"/>
    </row>
    <row r="9" spans="1:11" ht="15" customHeight="1" x14ac:dyDescent="0.25">
      <c r="A9" s="2" t="s">
        <v>66</v>
      </c>
      <c r="B9" s="59">
        <v>14082024</v>
      </c>
      <c r="C9" s="59"/>
      <c r="E9" s="2" t="s">
        <v>70</v>
      </c>
      <c r="F9" s="55"/>
      <c r="G9" s="55"/>
      <c r="I9" s="2" t="s">
        <v>39</v>
      </c>
      <c r="J9" s="60">
        <v>71056</v>
      </c>
      <c r="K9" s="60"/>
    </row>
    <row r="10" spans="1:11" ht="15" customHeight="1" x14ac:dyDescent="0.25">
      <c r="A10" s="2" t="s">
        <v>67</v>
      </c>
      <c r="B10" s="12">
        <v>900</v>
      </c>
      <c r="C10" s="13">
        <v>100</v>
      </c>
      <c r="E10" s="2" t="s">
        <v>72</v>
      </c>
      <c r="F10" s="55">
        <v>4727981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1">
        <v>4329</v>
      </c>
      <c r="C11" s="61"/>
      <c r="E11" s="2" t="s">
        <v>73</v>
      </c>
      <c r="F11" s="55">
        <v>5938747</v>
      </c>
      <c r="G11" s="55"/>
      <c r="I11" s="2" t="s">
        <v>37</v>
      </c>
      <c r="J11" s="55">
        <v>116232747</v>
      </c>
      <c r="K11" s="55"/>
    </row>
    <row r="12" spans="1:11" ht="15" customHeight="1" x14ac:dyDescent="0.25">
      <c r="A12" s="2" t="s">
        <v>38</v>
      </c>
      <c r="B12" s="61">
        <v>242816</v>
      </c>
      <c r="C12" s="61"/>
      <c r="E12" s="2" t="s">
        <v>74</v>
      </c>
      <c r="F12" s="55">
        <v>5401639</v>
      </c>
      <c r="G12" s="55"/>
      <c r="I12" s="2" t="s">
        <v>35</v>
      </c>
      <c r="J12" s="55">
        <v>116045577</v>
      </c>
      <c r="K12" s="55"/>
    </row>
    <row r="13" spans="1:11" ht="15" customHeight="1" x14ac:dyDescent="0.25">
      <c r="E13" s="2" t="s">
        <v>75</v>
      </c>
      <c r="F13" s="55">
        <v>5008902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f>SUM(F10:G13)</f>
        <v>21077269</v>
      </c>
      <c r="G14" s="55"/>
      <c r="I14" s="2" t="s">
        <v>91</v>
      </c>
      <c r="J14" s="61">
        <v>13.5</v>
      </c>
      <c r="K14" s="61"/>
    </row>
    <row r="15" spans="1:11" ht="15" customHeight="1" x14ac:dyDescent="0.25">
      <c r="E15" s="2" t="s">
        <v>76</v>
      </c>
      <c r="F15" s="55">
        <v>1265482</v>
      </c>
      <c r="G15" s="55"/>
      <c r="I15" s="2" t="s">
        <v>92</v>
      </c>
      <c r="J15" s="62">
        <v>20.5</v>
      </c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7">
        <v>27072024</v>
      </c>
      <c r="C18" s="57"/>
      <c r="E18" s="2" t="s">
        <v>28</v>
      </c>
      <c r="F18" s="56">
        <v>2082024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1800</v>
      </c>
      <c r="C19" s="35">
        <v>300</v>
      </c>
      <c r="E19" s="2" t="s">
        <v>41</v>
      </c>
      <c r="F19" s="32">
        <v>600</v>
      </c>
      <c r="G19" s="33">
        <v>100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138</v>
      </c>
      <c r="C20" s="39"/>
      <c r="D20" s="3"/>
      <c r="E20" s="2" t="s">
        <v>21</v>
      </c>
      <c r="F20" s="36">
        <v>1755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238697</v>
      </c>
      <c r="C21" s="39"/>
      <c r="D21" s="3"/>
      <c r="E21" s="2" t="s">
        <v>134</v>
      </c>
      <c r="F21" s="36">
        <v>240288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/>
      <c r="C24" s="41"/>
      <c r="D24" s="3"/>
      <c r="E24" s="2" t="s">
        <v>24</v>
      </c>
      <c r="F24" s="38"/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613.87</v>
      </c>
      <c r="C25" s="41"/>
      <c r="D25" s="3"/>
      <c r="E25" s="2" t="s">
        <v>17</v>
      </c>
      <c r="F25" s="38">
        <v>603.64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2865</v>
      </c>
      <c r="C26" s="40"/>
      <c r="D26" s="3"/>
      <c r="E26" s="2" t="s">
        <v>25</v>
      </c>
      <c r="F26" s="37">
        <v>2145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1617</v>
      </c>
      <c r="C29" s="47"/>
      <c r="E29" s="18" t="s">
        <v>146</v>
      </c>
      <c r="F29" s="48">
        <f>IF(B29="","",DATA!V21)</f>
        <v>134.00000000005821</v>
      </c>
      <c r="G29" s="48"/>
      <c r="H29" s="29"/>
      <c r="I29" s="18" t="s">
        <v>43</v>
      </c>
      <c r="J29" s="49">
        <f>IFERROR(ROUND(B29/F29,1),"")</f>
        <v>12.1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10.230000000000018</v>
      </c>
      <c r="G30" s="45"/>
      <c r="I30" s="28" t="s">
        <v>142</v>
      </c>
      <c r="J30" s="46">
        <f>IF(DATA!AD20&lt;&gt;"",DATA!AD20,DATA!AD21)</f>
        <v>720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27</v>
      </c>
      <c r="K20" s="6" t="str">
        <f>IF(LEN(ARRIVAL!B18)=8,IFERROR(MID(ARRIVAL!B18,3,2),""),IFERROR(MID(ARRIVAL!B18,2,2),""))</f>
        <v>07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0.75</v>
      </c>
      <c r="S20" s="8">
        <f t="shared" ref="S20:S23" si="5">IFERROR(TIME(ABS(O20),ABS(P20),0),"")</f>
        <v>0.125</v>
      </c>
      <c r="T20" s="9">
        <f>IFERROR(DATE(L20,K20,J20)+R20,"")</f>
        <v>45500.75</v>
      </c>
      <c r="U20" s="31">
        <f t="shared" ref="U20:U23" si="6">IFERROR(T20-Q20,"")</f>
        <v>45500.625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613.87</v>
      </c>
      <c r="AA20" s="27">
        <f>IFERROR(ARRIVAL!B26,"")</f>
        <v>2865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</v>
      </c>
      <c r="K21" s="6" t="str">
        <f>IF(LEN(ARRIVAL!F18)=8,IFERROR(MID(ARRIVAL!F18,3,2),""),IFERROR(MID(ARRIVAL!F18,2,2),""))</f>
        <v>08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0.25</v>
      </c>
      <c r="S21" s="8">
        <f t="shared" si="5"/>
        <v>4.1666666666666664E-2</v>
      </c>
      <c r="T21" s="9">
        <f>IFERROR(DATE(L21,K21,J21)+R21,"")</f>
        <v>45506.25</v>
      </c>
      <c r="U21" s="31">
        <f t="shared" si="6"/>
        <v>45506.208333333336</v>
      </c>
      <c r="V21" s="11">
        <f>IFERROR(((24*(U21-U20))),"")</f>
        <v>134.00000000005821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603.64</v>
      </c>
      <c r="AA21" s="27">
        <f>IFERROR(ARRIVAL!F26,"")</f>
        <v>2145</v>
      </c>
      <c r="AB21" s="27">
        <f>IF($U$21&lt;&gt;"",(X20+Y20)-(X21+Y21),"")</f>
        <v>0</v>
      </c>
      <c r="AC21" s="27">
        <f>IF($U$21&lt;&gt;"",Z20-Z21,"")</f>
        <v>10.230000000000018</v>
      </c>
      <c r="AD21" s="27">
        <f>IF($U$21&lt;&gt;"",AA20-AA21,"")</f>
        <v>720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2024-08-14T08:21:38Z</dcterms:modified>
</cp:coreProperties>
</file>