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8_{2BFA879A-136B-4769-BB3D-36E4B3BA33D5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<sst xmlns="http://schemas.openxmlformats.org/spreadsheetml/2006/main" count="211" uniqueCount="156">
  <si>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</si>
  <si>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</si>
  <si>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</si>
  <si>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</si>
  <si>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</si>
  <si>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</si>
  <si>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</si>
  <si>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</si>
  <si>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</si>
  <si>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</si>
  <si>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</si>
  <si>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</si>
  <si>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</si>
  <si>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</si>
  <si>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</si>
  <si>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</si>
  <si>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</si>
  <si>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</si>
  <si>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</si>
  <si>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</si>
  <si>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</si>
  <si>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</si>
  <si>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</si>
  <si>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</si>
  <si>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</si>
  <si>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</si>
  <si>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</si>
  <si>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</si>
  <si>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</si>
  <si>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</si>
  <si>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</si>
  <si>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</si>
  <si>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</si>
  <si>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</si>
  <si>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</si>
  <si>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</si>
  <si>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</si>
  <si>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</si>
  <si>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</si>
  <si>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</si>
  <si>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</si>
  <si>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</si>
  <si>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</si>
  <si>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</si>
  <si>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</si>
  <si>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</si>
  <si>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</si>
  <si>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</si>
  <si>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</si>
  <si>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</si>
  <si>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</si>
  <si>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</si>
  <si>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</si>
  <si>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</si>
  <si>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</si>
  <si>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</si>
  <si>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</si>
  <si>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</si>
  <si>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</si>
  <si>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</si>
  <si>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</si>
  <si>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</si>
  <si>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</si>
  <si>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</si>
  <si>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</si>
  <si>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</si>
  <si>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</si>
  <si>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</si>
  <si>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</si>
  <si>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</si>
  <si>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</si>
  <si>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</si>
  <si>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</si>
  <si>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</si>
  <si>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</si>
  <si>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</si>
  <si>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</si>
  <si>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</si>
  <si>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</si>
  <si>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</si>
  <si>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</si>
  <si>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</si>
  <si>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</si>
  <si>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</si>
  <si>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</si>
  <si>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</si>
  <si>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</si>
  <si>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</si>
  <si>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</si>
  <si>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</si>
  <si>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</si>
  <si>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</si>
  <si>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</si>
  <si>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</si>
  <si>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</si>
  <si>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</si>
  <si>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</si>
  <si>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</si>
  <si>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</si>
  <si>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</si>
  <si>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</si>
  <si>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</si>
  <si>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</si>
  <si>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</si>
  <si>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</si>
  <si>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</si>
  <si>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</si>
  <si>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</si>
  <si>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</si>
  <si>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</si>
  <si>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</si>
  <si>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</si>
  <si>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</si>
  <si>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</si>
  <si>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</si>
  <si>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</si>
  <si>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</si>
  <si>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</si>
  <si>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</si>
  <si>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</si>
  <si>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</si>
  <si>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</si>
  <si>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</si>
  <si>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</si>
  <si>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</si>
  <si>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</si>
  <si>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</si>
  <si>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</si>
  <si>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</si>
  <si>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</si>
  <si>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</si>
  <si>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</si>
  <si>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</si>
  <si>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</si>
  <si>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</si>
  <si>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</si>
  <si>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</si>
  <si>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</si>
  <si>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</si>
  <si>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</si>
  <si>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</si>
  <si>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</si>
  <si>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</si>
  <si>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</si>
  <si>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</si>
  <si>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</si>
  <si>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</si>
  <si>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</si>
  <si>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</si>
  <si>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</si>
  <si>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</si>
  <si>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</si>
  <si>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</si>
  <si>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41/24</t>
  </si>
  <si>
    <t>HROMI</t>
  </si>
  <si>
    <t>S/1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</si>
</sst>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topLeftCell="A13" zoomScale="130" zoomScaleNormal="130" zoomScaleSheetLayoutView="130" workbookViewId="0">
      <selection activeCell="F15" sqref="F15:G15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108</v>
      </c>
      <c r="C5" s="39"/>
      <c r="E5" s="2" t="s">
        <v>40</v>
      </c>
      <c r="F5" s="43" t="s">
        <v>155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1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12</v>
      </c>
      <c r="G7" s="48"/>
      <c r="I7" s="2" t="s">
        <v>17</v>
      </c>
      <c r="J7" s="62">
        <v>380.26</v>
      </c>
      <c r="K7" s="62"/>
    </row>
    <row r="8" spans="1:11" ht="15" customHeight="1" x14ac:dyDescent="0.25">
      <c r="A8" s="2" t="s">
        <v>87</v>
      </c>
      <c r="B8" s="39" t="s">
        <v>89</v>
      </c>
      <c r="C8" s="39"/>
      <c r="E8" s="42" t="s">
        <v>69</v>
      </c>
      <c r="F8" s="42"/>
      <c r="G8" s="42"/>
      <c r="I8" s="2" t="s">
        <v>25</v>
      </c>
      <c r="J8" s="61">
        <v>151185.20000000001</v>
      </c>
      <c r="K8" s="61"/>
    </row>
    <row r="9" spans="1:11" ht="15" customHeight="1" x14ac:dyDescent="0.25">
      <c r="A9" s="2" t="s">
        <v>66</v>
      </c>
      <c r="B9" s="54">
        <v>14102024</v>
      </c>
      <c r="C9" s="54"/>
      <c r="E9" s="2" t="s">
        <v>70</v>
      </c>
      <c r="F9" s="40"/>
      <c r="G9" s="40"/>
      <c r="I9" s="2" t="s">
        <v>39</v>
      </c>
      <c r="J9" s="55">
        <v>77723</v>
      </c>
      <c r="K9" s="55"/>
    </row>
    <row r="10" spans="1:11" ht="15" customHeight="1" x14ac:dyDescent="0.25">
      <c r="A10" s="2" t="s">
        <v>67</v>
      </c>
      <c r="B10" s="12">
        <v>2150</v>
      </c>
      <c r="C10" s="13">
        <v>200</v>
      </c>
      <c r="E10" s="2" t="s">
        <v>72</v>
      </c>
      <c r="F10" s="40">
        <v>5471896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1690</v>
      </c>
      <c r="C11" s="41"/>
      <c r="E11" s="2" t="s">
        <v>73</v>
      </c>
      <c r="F11" s="40">
        <v>7984399</v>
      </c>
      <c r="G11" s="40"/>
      <c r="I11" s="2" t="s">
        <v>37</v>
      </c>
      <c r="J11" s="40">
        <v>119453706</v>
      </c>
      <c r="K11" s="40"/>
    </row>
    <row r="12" spans="1:11" ht="15" customHeight="1" x14ac:dyDescent="0.25">
      <c r="A12" s="2" t="s">
        <v>38</v>
      </c>
      <c r="B12" s="41">
        <v>259193</v>
      </c>
      <c r="C12" s="41"/>
      <c r="E12" s="2" t="s">
        <v>74</v>
      </c>
      <c r="F12" s="40">
        <v>7520708</v>
      </c>
      <c r="G12" s="40"/>
      <c r="I12" s="2" t="s">
        <v>35</v>
      </c>
      <c r="J12" s="40">
        <v>119268146</v>
      </c>
      <c r="K12" s="40"/>
    </row>
    <row r="13" spans="1:11" ht="15" customHeight="1" x14ac:dyDescent="0.25">
      <c r="E13" s="2" t="s">
        <v>75</v>
      </c>
      <c r="F13" s="40">
        <v>5369131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9542200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1266499</v>
      </c>
      <c r="G15" s="40"/>
      <c r="I15" s="2" t="s">
        <v>92</v>
      </c>
      <c r="J15" s="56">
        <v>0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9102024</v>
      </c>
      <c r="C18" s="60"/>
      <c r="E18" s="2" t="s">
        <v>28</v>
      </c>
      <c r="F18" s="58">
        <v>14102024</v>
      </c>
      <c r="G18" s="59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1730</v>
      </c>
      <c r="C19" s="35">
        <v>100</v>
      </c>
      <c r="E19" s="2" t="s">
        <v>41</v>
      </c>
      <c r="F19" s="32">
        <v>1600</v>
      </c>
      <c r="G19" s="33">
        <v>200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2">
        <v>13</v>
      </c>
      <c r="C20" s="72"/>
      <c r="D20" s="3"/>
      <c r="E20" s="2" t="s">
        <v>21</v>
      </c>
      <c r="F20" s="75">
        <v>1655</v>
      </c>
      <c r="G20" s="75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2">
        <v>257556</v>
      </c>
      <c r="C21" s="72"/>
      <c r="D21" s="3"/>
      <c r="E21" s="2" t="s">
        <v>134</v>
      </c>
      <c r="F21" s="75">
        <v>259159</v>
      </c>
      <c r="G21" s="75"/>
      <c r="H21" s="3"/>
      <c r="I21" s="2" t="s">
        <v>31</v>
      </c>
      <c r="J21" s="63"/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4">
        <v>1107</v>
      </c>
      <c r="C23" s="74"/>
      <c r="D23" s="3"/>
      <c r="E23" s="2" t="s">
        <v>23</v>
      </c>
      <c r="F23" s="77">
        <v>1107</v>
      </c>
      <c r="G23" s="7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4">
        <v>0</v>
      </c>
      <c r="C24" s="74"/>
      <c r="D24" s="3"/>
      <c r="E24" s="2" t="s">
        <v>24</v>
      </c>
      <c r="F24" s="77">
        <v>0</v>
      </c>
      <c r="G24" s="77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4">
        <v>393.6</v>
      </c>
      <c r="C25" s="74"/>
      <c r="D25" s="3"/>
      <c r="E25" s="2" t="s">
        <v>17</v>
      </c>
      <c r="F25" s="77">
        <v>383.27</v>
      </c>
      <c r="G25" s="77"/>
      <c r="H25" s="3"/>
      <c r="I25" s="2" t="s">
        <v>32</v>
      </c>
      <c r="J25" s="63"/>
      <c r="K25" s="63"/>
    </row>
    <row r="26" spans="1:11" ht="15" customHeight="1" x14ac:dyDescent="0.25">
      <c r="A26" s="2" t="s">
        <v>25</v>
      </c>
      <c r="B26" s="73">
        <v>151918</v>
      </c>
      <c r="C26" s="73"/>
      <c r="D26" s="3"/>
      <c r="E26" s="2" t="s">
        <v>25</v>
      </c>
      <c r="F26" s="76">
        <v>151240</v>
      </c>
      <c r="G26" s="76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1642</v>
      </c>
      <c r="C29" s="66"/>
      <c r="E29" s="18" t="s">
        <v>146</v>
      </c>
      <c r="F29" s="67">
        <f>IF(B29="","",DATA!V21)</f>
        <v>117.49999999988358</v>
      </c>
      <c r="G29" s="67"/>
      <c r="H29" s="29"/>
      <c r="I29" s="18" t="s">
        <v>43</v>
      </c>
      <c r="J29" s="68">
        <f>IFERROR(ROUND(B29/F29,1),"")</f>
        <v>14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10.330000000000041</v>
      </c>
      <c r="G30" s="64"/>
      <c r="I30" s="28" t="s">
        <v>142</v>
      </c>
      <c r="J30" s="65">
        <f>IF(DATA!AD20&lt;&gt;"",DATA!AD20,DATA!AD21)</f>
        <v>678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9</v>
      </c>
      <c r="K20" s="6" t="str">
        <f>IF(LEN(ARRIVAL!B18)=8,IFERROR(MID(ARRIVAL!B18,3,2),""),IFERROR(MID(ARRIVAL!B18,2,2),""))</f>
        <v>10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17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0.72916666666666663</v>
      </c>
      <c r="S20" s="8">
        <f t="shared" ref="S20:S23" si="5">IFERROR(TIME(ABS(O20),ABS(P20),0),"")</f>
        <v>4.1666666666666664E-2</v>
      </c>
      <c r="T20" s="9">
        <f>IFERROR(DATE(L20,K20,J20)+R20,"")</f>
        <v>45574.729166666664</v>
      </c>
      <c r="U20" s="31">
        <f t="shared" ref="U20:U23" si="6">IFERROR(T20-Q20,"")</f>
        <v>45574.6875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393.6</v>
      </c>
      <c r="AA20" s="27">
        <f>IFERROR(ARRIVAL!B26,"")</f>
        <v>151918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14</v>
      </c>
      <c r="K21" s="6" t="str">
        <f>IF(LEN(ARRIVAL!F18)=8,IFERROR(MID(ARRIVAL!F18,3,2),""),IFERROR(MID(ARRIVAL!F18,2,2),""))</f>
        <v>10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0">
        <f t="shared" ref="Q21:Q23" si="7">IFERROR(S21*SIGN(O21),"")</f>
        <v>8.3333333333333329E-2</v>
      </c>
      <c r="R21" s="8">
        <f t="shared" ref="R21:R23" si="8">IFERROR(TIME(M21,N21,0),"")</f>
        <v>0.66666666666666663</v>
      </c>
      <c r="S21" s="8">
        <f t="shared" si="5"/>
        <v>8.3333333333333329E-2</v>
      </c>
      <c r="T21" s="9">
        <f>IFERROR(DATE(L21,K21,J21)+R21,"")</f>
        <v>45579.666666666664</v>
      </c>
      <c r="U21" s="31">
        <f t="shared" si="6"/>
        <v>45579.583333333328</v>
      </c>
      <c r="V21" s="11">
        <f>IFERROR(((24*(U21-U20))),"")</f>
        <v>117.49999999988358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383.27</v>
      </c>
      <c r="AA21" s="27">
        <f>IFERROR(ARRIVAL!F26,"")</f>
        <v>151240</v>
      </c>
      <c r="AB21" s="27">
        <f>IF($U$21&lt;&gt;"",(X20+Y20)-(X21+Y21),"")</f>
        <v>0</v>
      </c>
      <c r="AC21" s="27">
        <f>IF($U$21&lt;&gt;"",Z20-Z21,"")</f>
        <v>10.330000000000041</v>
      </c>
      <c r="AD21" s="27">
        <f>IF($U$21&lt;&gt;"",AA20-AA21,"")</f>
        <v>678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2024-10-14T20:17:23Z</dcterms:modified>
</cp:coreProperties>
</file>