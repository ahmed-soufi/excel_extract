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4000" windowHeight="913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<sst xmlns="http://schemas.openxmlformats.org/spreadsheetml/2006/main" count="213" uniqueCount="158">
  <si>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</si>
  <si>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</si>
  <si>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</si>
  <si>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</si>
  <si>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</si>
  <si>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</si>
  <si>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</si>
  <si>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</si>
  <si>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</si>
  <si>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</si>
  <si>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</si>
  <si>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</si>
  <si>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</si>
  <si>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</si>
  <si>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</si>
  <si>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</si>
  <si>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</si>
  <si>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</si>
  <si>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</si>
  <si>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</si>
  <si>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</si>
  <si>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</si>
  <si>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</si>
  <si>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</si>
  <si>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</si>
  <si>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</si>
  <si>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</si>
  <si>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</si>
  <si>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</si>
  <si>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</si>
  <si>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</si>
  <si>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</si>
  <si>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</si>
  <si>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</si>
  <si>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</si>
  <si>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</si>
  <si>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</si>
  <si>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</si>
  <si>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</si>
  <si>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</si>
  <si>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</si>
  <si>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</si>
  <si>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</si>
  <si>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</si>
  <si>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</si>
  <si>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</si>
  <si>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</si>
  <si>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</si>
  <si>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</si>
  <si>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</si>
  <si>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</si>
  <si>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</si>
  <si>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</si>
  <si>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</si>
  <si>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</si>
  <si>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</si>
  <si>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</si>
  <si>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</si>
  <si>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</si>
  <si>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</si>
  <si>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</si>
  <si>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</si>
  <si>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</si>
  <si>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</si>
  <si>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</si>
  <si>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</si>
  <si>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</si>
  <si>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</si>
  <si>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</si>
  <si>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</si>
  <si>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</si>
  <si>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</si>
  <si>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</si>
  <si>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</si>
  <si>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</si>
  <si>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</si>
  <si>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</si>
  <si>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</si>
  <si>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</si>
  <si>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</si>
  <si>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</si>
  <si>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</si>
  <si>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</si>
  <si>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</si>
  <si>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</si>
  <si>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</si>
  <si>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</si>
  <si>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</si>
  <si>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</si>
  <si>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</si>
  <si>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</si>
  <si>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</si>
  <si>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</si>
  <si>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</si>
  <si>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</si>
  <si>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</si>
  <si>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</si>
  <si>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</si>
  <si>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</si>
  <si>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</si>
  <si>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</si>
  <si>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</si>
  <si>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</si>
  <si>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</si>
  <si>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</si>
  <si>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</si>
  <si>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</si>
  <si>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</si>
  <si>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</si>
  <si>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</si>
  <si>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</si>
  <si>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</si>
  <si>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</si>
  <si>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</si>
  <si>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</si>
  <si>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</si>
  <si>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</si>
  <si>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</si>
  <si>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</si>
  <si>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</si>
  <si>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</si>
  <si>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</si>
  <si>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</si>
  <si>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</si>
  <si>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</si>
  <si>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</si>
  <si>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</si>
  <si>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</si>
  <si>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</si>
  <si>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</si>
  <si>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</si>
  <si>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</si>
  <si>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</si>
  <si>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</si>
  <si>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</si>
  <si>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</si>
  <si>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</si>
  <si>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</si>
  <si>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</si>
  <si>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</si>
  <si>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</si>
  <si>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</si>
  <si>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</si>
  <si>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</si>
  <si>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</si>
  <si>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</si>
  <si>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</si>
  <si>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</si>
  <si>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</si>
  <si>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</si>
  <si>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</si>
  <si>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</si>
  <si>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A.BEKAKCHA</t>
  </si>
  <si>
    <t>028/24</t>
  </si>
  <si>
    <t>DZAZW</t>
  </si>
  <si>
    <t>ARZEW</t>
  </si>
  <si>
    <t>NE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</si>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</sst>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30" zoomScaleNormal="130" zoomScaleSheetLayoutView="130" workbookViewId="0">
      <selection activeCell="J8" sqref="J8:K8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5" t="s">
        <v>34</v>
      </c>
      <c r="F2" s="38" t="s">
        <v>12</v>
      </c>
      <c r="G2" s="38"/>
      <c r="I2" s="16" t="s">
        <v>53</v>
      </c>
      <c r="J2" s="39" t="s">
        <v>152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109</v>
      </c>
      <c r="C5" s="39"/>
      <c r="E5" s="2" t="s">
        <v>40</v>
      </c>
      <c r="F5" s="43" t="s">
        <v>156</v>
      </c>
      <c r="G5" s="44"/>
      <c r="I5" s="2" t="s">
        <v>23</v>
      </c>
      <c r="J5" s="61">
        <v>1107</v>
      </c>
      <c r="K5" s="61"/>
    </row>
    <row r="6" spans="1:11" ht="15" customHeight="1" x14ac:dyDescent="0.25">
      <c r="A6" s="2" t="s">
        <v>78</v>
      </c>
      <c r="B6" s="39" t="s">
        <v>153</v>
      </c>
      <c r="C6" s="39"/>
      <c r="E6" s="2" t="s">
        <v>29</v>
      </c>
      <c r="F6" s="45">
        <v>3</v>
      </c>
      <c r="G6" s="46"/>
      <c r="I6" s="2" t="s">
        <v>24</v>
      </c>
      <c r="J6" s="61"/>
      <c r="K6" s="61"/>
    </row>
    <row r="7" spans="1:11" ht="15" customHeight="1" x14ac:dyDescent="0.25">
      <c r="A7" s="2" t="s">
        <v>77</v>
      </c>
      <c r="B7" s="39" t="s">
        <v>155</v>
      </c>
      <c r="C7" s="39"/>
      <c r="E7" s="2" t="s">
        <v>36</v>
      </c>
      <c r="F7" s="47" t="s">
        <v>157</v>
      </c>
      <c r="G7" s="48"/>
      <c r="I7" s="2" t="s">
        <v>17</v>
      </c>
      <c r="J7" s="61">
        <v>636.11</v>
      </c>
      <c r="K7" s="61"/>
    </row>
    <row r="8" spans="1:11" ht="15" customHeight="1" x14ac:dyDescent="0.25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60">
        <v>2232</v>
      </c>
      <c r="K8" s="60"/>
    </row>
    <row r="9" spans="1:11" ht="15" customHeight="1" x14ac:dyDescent="0.25">
      <c r="A9" s="2" t="s">
        <v>66</v>
      </c>
      <c r="B9" s="54">
        <v>19072024</v>
      </c>
      <c r="C9" s="54"/>
      <c r="E9" s="2" t="s">
        <v>70</v>
      </c>
      <c r="F9" s="40"/>
      <c r="G9" s="40"/>
      <c r="I9" s="2" t="s">
        <v>39</v>
      </c>
      <c r="J9" s="55">
        <v>54777</v>
      </c>
      <c r="K9" s="55"/>
    </row>
    <row r="10" spans="1:11" ht="15" customHeight="1" x14ac:dyDescent="0.25">
      <c r="A10" s="2" t="s">
        <v>67</v>
      </c>
      <c r="B10" s="12">
        <v>820</v>
      </c>
      <c r="C10" s="13">
        <v>100</v>
      </c>
      <c r="E10" s="2" t="s">
        <v>72</v>
      </c>
      <c r="F10" s="40">
        <v>4389673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1715</v>
      </c>
      <c r="C11" s="41"/>
      <c r="E11" s="2" t="s">
        <v>73</v>
      </c>
      <c r="F11" s="40">
        <v>5686379</v>
      </c>
      <c r="G11" s="40"/>
      <c r="I11" s="2" t="s">
        <v>37</v>
      </c>
      <c r="J11" s="40">
        <v>114934856</v>
      </c>
      <c r="K11" s="40"/>
    </row>
    <row r="12" spans="1:11" ht="15" customHeight="1" x14ac:dyDescent="0.25">
      <c r="A12" s="2" t="s">
        <v>38</v>
      </c>
      <c r="B12" s="41">
        <v>236899</v>
      </c>
      <c r="C12" s="41"/>
      <c r="E12" s="2" t="s">
        <v>74</v>
      </c>
      <c r="F12" s="40">
        <v>4731565</v>
      </c>
      <c r="G12" s="40"/>
      <c r="I12" s="2" t="s">
        <v>35</v>
      </c>
      <c r="J12" s="40">
        <v>114747986</v>
      </c>
      <c r="K12" s="40"/>
    </row>
    <row r="13" spans="1:11" ht="15" customHeight="1" x14ac:dyDescent="0.25">
      <c r="E13" s="2" t="s">
        <v>75</v>
      </c>
      <c r="F13" s="40">
        <v>4920478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8548255</v>
      </c>
      <c r="G14" s="40"/>
      <c r="I14" s="2" t="s">
        <v>91</v>
      </c>
      <c r="J14" s="41">
        <v>15.4</v>
      </c>
      <c r="K14" s="41"/>
    </row>
    <row r="15" spans="1:11" ht="15" customHeight="1" x14ac:dyDescent="0.25">
      <c r="E15" s="2" t="s">
        <v>76</v>
      </c>
      <c r="F15" s="40">
        <v>1206776</v>
      </c>
      <c r="G15" s="40"/>
      <c r="I15" s="2" t="s">
        <v>92</v>
      </c>
      <c r="J15" s="56">
        <v>25.5</v>
      </c>
      <c r="K15" s="57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59">
        <v>13072024</v>
      </c>
      <c r="C18" s="59"/>
      <c r="E18" s="2" t="s">
        <v>28</v>
      </c>
      <c r="F18" s="58">
        <v>17072024</v>
      </c>
      <c r="G18" s="58"/>
      <c r="I18" s="2" t="s">
        <v>0</v>
      </c>
      <c r="J18" s="52" t="s">
        <v>154</v>
      </c>
      <c r="K18" s="52"/>
    </row>
    <row r="19" spans="1:11" ht="15" customHeight="1" x14ac:dyDescent="0.25">
      <c r="A19" s="2" t="s">
        <v>41</v>
      </c>
      <c r="B19" s="34">
        <v>1900</v>
      </c>
      <c r="C19" s="35">
        <v>300</v>
      </c>
      <c r="E19" s="2" t="s">
        <v>41</v>
      </c>
      <c r="F19" s="32">
        <v>1100</v>
      </c>
      <c r="G19" s="33">
        <v>100</v>
      </c>
      <c r="I19" s="2" t="s">
        <v>30</v>
      </c>
      <c r="J19" s="53">
        <v>17072024</v>
      </c>
      <c r="K19" s="53"/>
    </row>
    <row r="20" spans="1:11" ht="15" customHeight="1" x14ac:dyDescent="0.25">
      <c r="A20" s="2" t="s">
        <v>22</v>
      </c>
      <c r="B20" s="71">
        <v>150</v>
      </c>
      <c r="C20" s="71"/>
      <c r="D20" s="3"/>
      <c r="E20" s="2" t="s">
        <v>21</v>
      </c>
      <c r="F20" s="74">
        <v>1641</v>
      </c>
      <c r="G20" s="74"/>
      <c r="H20" s="3"/>
      <c r="I20" s="2" t="s">
        <v>41</v>
      </c>
      <c r="J20" s="14">
        <v>1240</v>
      </c>
      <c r="K20" s="19">
        <v>100</v>
      </c>
    </row>
    <row r="21" spans="1:11" ht="15" customHeight="1" x14ac:dyDescent="0.25">
      <c r="A21" s="2" t="s">
        <v>135</v>
      </c>
      <c r="B21" s="71">
        <v>235334</v>
      </c>
      <c r="C21" s="71"/>
      <c r="D21" s="3"/>
      <c r="E21" s="2" t="s">
        <v>134</v>
      </c>
      <c r="F21" s="74">
        <v>236824</v>
      </c>
      <c r="G21" s="74"/>
      <c r="H21" s="3"/>
      <c r="I21" s="2" t="s">
        <v>31</v>
      </c>
      <c r="J21" s="62">
        <v>1650</v>
      </c>
      <c r="K21" s="62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73">
        <v>1107</v>
      </c>
      <c r="C23" s="73"/>
      <c r="D23" s="3"/>
      <c r="E23" s="2" t="s">
        <v>23</v>
      </c>
      <c r="F23" s="76">
        <v>1107</v>
      </c>
      <c r="G23" s="76"/>
      <c r="H23" s="3"/>
      <c r="I23" s="2" t="s">
        <v>33</v>
      </c>
      <c r="J23" s="53">
        <v>17072024</v>
      </c>
      <c r="K23" s="53"/>
    </row>
    <row r="24" spans="1:11" ht="15" customHeight="1" x14ac:dyDescent="0.25">
      <c r="A24" s="2" t="s">
        <v>24</v>
      </c>
      <c r="B24" s="73"/>
      <c r="C24" s="73"/>
      <c r="D24" s="3"/>
      <c r="E24" s="2" t="s">
        <v>24</v>
      </c>
      <c r="F24" s="76"/>
      <c r="G24" s="76"/>
      <c r="H24" s="3"/>
      <c r="I24" s="2" t="s">
        <v>41</v>
      </c>
      <c r="J24" s="14">
        <v>2130</v>
      </c>
      <c r="K24" s="19">
        <v>100</v>
      </c>
    </row>
    <row r="25" spans="1:11" ht="15" customHeight="1" x14ac:dyDescent="0.25">
      <c r="A25" s="2" t="s">
        <v>17</v>
      </c>
      <c r="B25" s="73">
        <v>396.69</v>
      </c>
      <c r="C25" s="73"/>
      <c r="D25" s="3"/>
      <c r="E25" s="2" t="s">
        <v>17</v>
      </c>
      <c r="F25" s="76">
        <v>390.83</v>
      </c>
      <c r="G25" s="76"/>
      <c r="H25" s="3"/>
      <c r="I25" s="2" t="s">
        <v>32</v>
      </c>
      <c r="J25" s="62">
        <v>1651</v>
      </c>
      <c r="K25" s="62"/>
    </row>
    <row r="26" spans="1:11" ht="15" customHeight="1" x14ac:dyDescent="0.25">
      <c r="A26" s="2" t="s">
        <v>25</v>
      </c>
      <c r="B26" s="72">
        <v>3084</v>
      </c>
      <c r="C26" s="72"/>
      <c r="D26" s="3"/>
      <c r="E26" s="2" t="s">
        <v>25</v>
      </c>
      <c r="F26" s="75">
        <v>2613.8000000000002</v>
      </c>
      <c r="G26" s="75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68" t="s">
        <v>107</v>
      </c>
      <c r="B28" s="69"/>
      <c r="C28" s="69"/>
      <c r="D28" s="69"/>
      <c r="E28" s="69"/>
      <c r="F28" s="69"/>
      <c r="G28" s="69"/>
      <c r="H28" s="69"/>
      <c r="I28" s="69"/>
      <c r="J28" s="69"/>
      <c r="K28" s="70"/>
    </row>
    <row r="29" spans="1:11" ht="15" customHeight="1" x14ac:dyDescent="0.25">
      <c r="A29" s="18" t="s">
        <v>42</v>
      </c>
      <c r="B29" s="65">
        <f>IF(F20="","",F20-B20)</f>
        <v>1491</v>
      </c>
      <c r="C29" s="65"/>
      <c r="E29" s="18" t="s">
        <v>146</v>
      </c>
      <c r="F29" s="66">
        <f>IF(B29="","",DATA!V21)</f>
        <v>90.000000000174623</v>
      </c>
      <c r="G29" s="66"/>
      <c r="H29" s="29"/>
      <c r="I29" s="18" t="s">
        <v>43</v>
      </c>
      <c r="J29" s="67">
        <f>IFERROR(ROUND(B29/F29,1),"")</f>
        <v>16.600000000000001</v>
      </c>
      <c r="K29" s="67"/>
    </row>
    <row r="30" spans="1:11" s="22" customFormat="1" ht="15" customHeight="1" x14ac:dyDescent="0.25">
      <c r="A30" s="28" t="s">
        <v>140</v>
      </c>
      <c r="B30" s="63">
        <f>IF(DATA!AB20&lt;&gt;"",DATA!AB20,DATA!AB21)</f>
        <v>0</v>
      </c>
      <c r="C30" s="63"/>
      <c r="E30" s="28" t="s">
        <v>141</v>
      </c>
      <c r="F30" s="63">
        <f>IF(DATA!AC20&lt;&gt;"",DATA!AC20,DATA!AC21)</f>
        <v>5.8600000000000136</v>
      </c>
      <c r="G30" s="63"/>
      <c r="I30" s="28" t="s">
        <v>142</v>
      </c>
      <c r="J30" s="64">
        <f>IF(DATA!AD20&lt;&gt;"",DATA!AD20,DATA!AD21)</f>
        <v>470.19999999999982</v>
      </c>
      <c r="K30" s="64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F20:G20"/>
    <mergeCell ref="F21:G21"/>
    <mergeCell ref="F26:G26"/>
    <mergeCell ref="F25:G25"/>
    <mergeCell ref="F24:G24"/>
    <mergeCell ref="F23:G23"/>
    <mergeCell ref="B20:C20"/>
    <mergeCell ref="B21:C21"/>
    <mergeCell ref="B26:C26"/>
    <mergeCell ref="B25:C25"/>
    <mergeCell ref="B24:C24"/>
    <mergeCell ref="B23:C23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J8:K8"/>
    <mergeCell ref="I4:K4"/>
    <mergeCell ref="J5:K5"/>
    <mergeCell ref="J6:K6"/>
    <mergeCell ref="J7:K7"/>
    <mergeCell ref="A17:C17"/>
    <mergeCell ref="E17:G17"/>
    <mergeCell ref="F13:G13"/>
    <mergeCell ref="F18:G18"/>
    <mergeCell ref="B18:C18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7" t="s">
        <v>51</v>
      </c>
      <c r="P1" s="77"/>
      <c r="Q1" s="77"/>
      <c r="R1" s="21" t="s">
        <v>149</v>
      </c>
      <c r="S1" s="23" t="s">
        <v>151</v>
      </c>
      <c r="T1" s="4" t="s">
        <v>150</v>
      </c>
      <c r="U1" s="21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7"/>
      <c r="P17" s="77"/>
      <c r="Q17" s="23"/>
      <c r="R17" s="4"/>
      <c r="S17" s="23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7" t="s">
        <v>51</v>
      </c>
      <c r="P18" s="77"/>
      <c r="Q18" s="77"/>
      <c r="R18" s="23" t="s">
        <v>149</v>
      </c>
      <c r="S18" s="23" t="s">
        <v>151</v>
      </c>
      <c r="T18" s="4" t="s">
        <v>150</v>
      </c>
      <c r="U18" s="23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13</v>
      </c>
      <c r="K20" s="6" t="str">
        <f>IF(LEN(ARRIVAL!B18)=8,IFERROR(MID(ARRIVAL!B18,3,2),""),IFERROR(MID(ARRIVAL!B18,2,2),""))</f>
        <v>07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19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3</v>
      </c>
      <c r="P20" s="6" t="str">
        <f>IFERROR(RIGHT(ARRIVAL!C19,2),"")</f>
        <v>00</v>
      </c>
      <c r="Q20" s="30">
        <f>IFERROR(S20*SIGN(O20),"")</f>
        <v>0.125</v>
      </c>
      <c r="R20" s="8">
        <f>IFERROR(TIME(M20,N20,0),"")</f>
        <v>0.79166666666666663</v>
      </c>
      <c r="S20" s="8">
        <f t="shared" ref="S20:S23" si="5">IFERROR(TIME(ABS(O20),ABS(P20),0),"")</f>
        <v>0.125</v>
      </c>
      <c r="T20" s="9">
        <f>IFERROR(DATE(L20,K20,J20)+R20,"")</f>
        <v>45486.791666666664</v>
      </c>
      <c r="U20" s="31">
        <f t="shared" ref="U20:U23" si="6">IFERROR(T20-Q20,"")</f>
        <v>45486.666666666664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396.69</v>
      </c>
      <c r="AA20" s="27">
        <f>IFERROR(ARRIVAL!B26,"")</f>
        <v>3084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17</v>
      </c>
      <c r="K21" s="6" t="str">
        <f>IF(LEN(ARRIVAL!F18)=8,IFERROR(MID(ARRIVAL!F18,3,2),""),IFERROR(MID(ARRIVAL!F18,2,2),""))</f>
        <v>07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11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0">
        <f t="shared" ref="Q21:Q23" si="7">IFERROR(S21*SIGN(O21),"")</f>
        <v>4.1666666666666664E-2</v>
      </c>
      <c r="R21" s="8">
        <f t="shared" ref="R21:R23" si="8">IFERROR(TIME(M21,N21,0),"")</f>
        <v>0.45833333333333331</v>
      </c>
      <c r="S21" s="8">
        <f t="shared" si="5"/>
        <v>4.1666666666666664E-2</v>
      </c>
      <c r="T21" s="9">
        <f>IFERROR(DATE(L21,K21,J21)+R21,"")</f>
        <v>45490.458333333336</v>
      </c>
      <c r="U21" s="31">
        <f t="shared" si="6"/>
        <v>45490.416666666672</v>
      </c>
      <c r="V21" s="11">
        <f>IFERROR(((24*(U21-U20))),"")</f>
        <v>90.000000000174623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390.83</v>
      </c>
      <c r="AA21" s="27">
        <f>IFERROR(ARRIVAL!F26,"")</f>
        <v>2613.8000000000002</v>
      </c>
      <c r="AB21" s="27">
        <f>IF($U$21&lt;&gt;"",(X20+Y20)-(X21+Y21),"")</f>
        <v>0</v>
      </c>
      <c r="AC21" s="27">
        <f>IF($U$21&lt;&gt;"",Z20-Z21,"")</f>
        <v>5.8600000000000136</v>
      </c>
      <c r="AD21" s="27">
        <f>IF($U$21&lt;&gt;"",AA20-AA21,"")</f>
        <v>470.19999999999982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>17</v>
      </c>
      <c r="K22" s="6" t="str">
        <f>IF(LEN(ARRIVAL!J19)=8,IFERROR(MID(ARRIVAL!J19,3,2),""),IFERROR(MID(ARRIVAL!J19,2,2),""))</f>
        <v>07</v>
      </c>
      <c r="L22" s="7" t="str">
        <f>IFERROR(RIGHT(ARRIVAL!J19,4),"")</f>
        <v>2024</v>
      </c>
      <c r="M22" s="6" t="str">
        <f>IFERROR(IF(LEN(ARRIVAL!J20)=3,LEFT(ARRIVAL!J20,1),IF(LEN(ARRIVAL!J20)=4,LEFT(ARRIVAL!J20,2),"")),"")</f>
        <v>12</v>
      </c>
      <c r="N22" s="6" t="str">
        <f>IFERROR(RIGHT(ARRIVAL!J20,2),"")</f>
        <v>40</v>
      </c>
      <c r="O22" s="6" t="str">
        <f>IFERROR(IF(LEN(ARRIVAL!K20)=3,LEFT(ARRIVAL!K20,1),IF(LEN(ARRIVAL!K20)=4,LEFT(ARRIVAL!K20,2),"")),"")</f>
        <v>1</v>
      </c>
      <c r="P22" s="6" t="str">
        <f>IFERROR(RIGHT(ARRIVAL!K20,2),"")</f>
        <v>00</v>
      </c>
      <c r="Q22" s="30">
        <f t="shared" si="7"/>
        <v>4.1666666666666664E-2</v>
      </c>
      <c r="R22" s="8">
        <f t="shared" si="8"/>
        <v>0.52777777777777779</v>
      </c>
      <c r="S22" s="8">
        <f t="shared" si="5"/>
        <v>4.1666666666666664E-2</v>
      </c>
      <c r="T22" s="9">
        <f>IFERROR(DATE(L22,K22,J22)+R22,"")</f>
        <v>45490.527777777781</v>
      </c>
      <c r="U22" s="31">
        <f t="shared" si="6"/>
        <v>45490.486111111117</v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>17</v>
      </c>
      <c r="K23" s="6" t="str">
        <f>IF(LEN(ARRIVAL!J23)=8,IFERROR(MID(ARRIVAL!J23,3,2),""),IFERROR(MID(ARRIVAL!J23,2,2),""))</f>
        <v>07</v>
      </c>
      <c r="L23" s="7" t="str">
        <f>IFERROR(RIGHT(ARRIVAL!J23,4),"")</f>
        <v>2024</v>
      </c>
      <c r="M23" s="6" t="str">
        <f>IFERROR(IF(LEN(ARRIVAL!J24)=3,LEFT(ARRIVAL!J24,1),IF(LEN(ARRIVAL!J24)=4,LEFT(ARRIVAL!J24,2),"")),"")</f>
        <v>21</v>
      </c>
      <c r="N23" s="6" t="str">
        <f>IFERROR(RIGHT(ARRIVAL!J24,2),"")</f>
        <v>30</v>
      </c>
      <c r="O23" s="6" t="str">
        <f>IFERROR(IF(LEN(ARRIVAL!K24)=3,LEFT(ARRIVAL!K24,1),IF(LEN(ARRIVAL!K24)=4,LEFT(ARRIVAL!K24,2),"")),"")</f>
        <v>1</v>
      </c>
      <c r="P23" s="6" t="str">
        <f>IFERROR(RIGHT(ARRIVAL!K24,2),"")</f>
        <v>00</v>
      </c>
      <c r="Q23" s="30">
        <f t="shared" si="7"/>
        <v>4.1666666666666664E-2</v>
      </c>
      <c r="R23" s="8">
        <f t="shared" si="8"/>
        <v>0.89583333333333337</v>
      </c>
      <c r="S23" s="8">
        <f t="shared" si="5"/>
        <v>4.1666666666666664E-2</v>
      </c>
      <c r="T23" s="9">
        <f>IFERROR(DATE(L23,K23,J23)+R23,"")</f>
        <v>45490.895833333336</v>
      </c>
      <c r="U23" s="31">
        <f t="shared" si="6"/>
        <v>45490.854166666672</v>
      </c>
      <c r="V23" s="11">
        <f>IFERROR(((24*(U23-U22))),"")</f>
        <v>8.8333333333139308</v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2024-07-20T15:31:42Z</dcterms:modified>
</cp:coreProperties>
</file>