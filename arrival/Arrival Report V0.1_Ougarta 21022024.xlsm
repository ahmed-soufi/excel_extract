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4000" windowHeight="973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<sst xmlns="http://schemas.openxmlformats.org/spreadsheetml/2006/main" count="211" uniqueCount="156">
  <si>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</si>
  <si>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</si>
  <si>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</si>
  <si>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</si>
  <si>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</si>
  <si>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</si>
  <si>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</si>
  <si>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</si>
  <si>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</si>
  <si>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</si>
  <si>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</si>
  <si>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</si>
  <si>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</si>
  <si>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</si>
  <si>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</si>
  <si>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</si>
  <si>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</si>
  <si>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</si>
  <si>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</si>
  <si>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</si>
  <si>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</si>
  <si>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</si>
  <si>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</si>
  <si>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</si>
  <si>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</si>
  <si>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</si>
  <si>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</si>
  <si>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</si>
  <si>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</si>
  <si>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</si>
  <si>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</si>
  <si>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</si>
  <si>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</si>
  <si>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</si>
  <si>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</si>
  <si>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</si>
  <si>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</si>
  <si>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</si>
  <si>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</si>
  <si>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</si>
  <si>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</si>
  <si>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</si>
  <si>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</si>
  <si>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</si>
  <si>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</si>
  <si>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</si>
  <si>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</si>
  <si>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</si>
  <si>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</si>
  <si>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</si>
  <si>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</si>
  <si>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</si>
  <si>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</si>
  <si>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</si>
  <si>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</si>
  <si>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</si>
  <si>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</si>
  <si>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</si>
  <si>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</si>
  <si>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</si>
  <si>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</si>
  <si>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</si>
  <si>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</si>
  <si>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</si>
  <si>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</si>
  <si>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</si>
  <si>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</si>
  <si>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</si>
  <si>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</si>
  <si>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</si>
  <si>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</si>
  <si>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</si>
  <si>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</si>
  <si>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</si>
  <si>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</si>
  <si>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</si>
  <si>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</si>
  <si>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</si>
  <si>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</si>
  <si>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</si>
  <si>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</si>
  <si>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</si>
  <si>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</si>
  <si>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</si>
  <si>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</si>
  <si>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</si>
  <si>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</si>
  <si>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</si>
  <si>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</si>
  <si>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</si>
  <si>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</si>
  <si>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</si>
  <si>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</si>
  <si>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</si>
  <si>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</si>
  <si>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</si>
  <si>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</si>
  <si>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</si>
  <si>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</si>
  <si>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</si>
  <si>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</si>
  <si>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</si>
  <si>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</si>
  <si>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</si>
  <si>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</si>
  <si>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</si>
  <si>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</si>
  <si>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</si>
  <si>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</si>
  <si>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</si>
  <si>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</si>
  <si>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</si>
  <si>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</si>
  <si>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</si>
  <si>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</si>
  <si>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</si>
  <si>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</si>
  <si>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</si>
  <si>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</si>
  <si>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</si>
  <si>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</si>
  <si>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</si>
  <si>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</si>
  <si>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</si>
  <si>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</si>
  <si>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</si>
  <si>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</si>
  <si>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</si>
  <si>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</si>
  <si>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</si>
  <si>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</si>
  <si>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</si>
  <si>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</si>
  <si>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</si>
  <si>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</si>
  <si>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</si>
  <si>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</si>
  <si>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</si>
  <si>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</si>
  <si>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</si>
  <si>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</si>
  <si>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</si>
  <si>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</si>
  <si>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</si>
  <si>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</si>
  <si>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</si>
  <si>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</si>
  <si>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</si>
  <si>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</si>
  <si>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</si>
  <si>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</si>
  <si>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</si>
  <si>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</si>
  <si>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>DZAZW</t>
  </si>
  <si>
    <t>NW/3</t>
  </si>
  <si>
    <t>M2345-02/24-OUG145-BOTAS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</si>
</sst>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26" zoomScaleNormal="130" zoomScaleSheetLayoutView="126" workbookViewId="0">
      <selection activeCell="F14" sqref="F14:G14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9" t="s">
        <v>34</v>
      </c>
      <c r="F2" s="38" t="s">
        <v>12</v>
      </c>
      <c r="G2" s="38"/>
      <c r="I2" s="20" t="s">
        <v>53</v>
      </c>
      <c r="J2" s="39" t="s">
        <v>152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109</v>
      </c>
      <c r="C5" s="39"/>
      <c r="E5" s="2" t="s">
        <v>40</v>
      </c>
      <c r="F5" s="43" t="s">
        <v>154</v>
      </c>
      <c r="G5" s="44"/>
      <c r="I5" s="2" t="s">
        <v>23</v>
      </c>
      <c r="J5" s="63">
        <v>1107</v>
      </c>
      <c r="K5" s="63"/>
    </row>
    <row r="6" spans="1:11" ht="15" customHeight="1" x14ac:dyDescent="0.25">
      <c r="A6" s="2" t="s">
        <v>78</v>
      </c>
      <c r="B6" s="39" t="s">
        <v>155</v>
      </c>
      <c r="C6" s="39"/>
      <c r="E6" s="2" t="s">
        <v>29</v>
      </c>
      <c r="F6" s="45">
        <v>3</v>
      </c>
      <c r="G6" s="46"/>
      <c r="I6" s="2" t="s">
        <v>24</v>
      </c>
      <c r="J6" s="63"/>
      <c r="K6" s="63"/>
    </row>
    <row r="7" spans="1:11" ht="15" customHeight="1" x14ac:dyDescent="0.25">
      <c r="A7" s="2" t="s">
        <v>77</v>
      </c>
      <c r="B7" s="39" t="s">
        <v>153</v>
      </c>
      <c r="C7" s="39"/>
      <c r="E7" s="2" t="s">
        <v>36</v>
      </c>
      <c r="F7" s="47">
        <v>0</v>
      </c>
      <c r="G7" s="48"/>
      <c r="I7" s="2" t="s">
        <v>17</v>
      </c>
      <c r="J7" s="63">
        <v>501.1</v>
      </c>
      <c r="K7" s="63"/>
    </row>
    <row r="8" spans="1:11" ht="15" customHeight="1" x14ac:dyDescent="0.25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2">
        <v>2198.6999999999998</v>
      </c>
      <c r="K8" s="62"/>
    </row>
    <row r="9" spans="1:11" ht="15" customHeight="1" x14ac:dyDescent="0.25">
      <c r="A9" s="2" t="s">
        <v>66</v>
      </c>
      <c r="B9" s="55">
        <v>21022024</v>
      </c>
      <c r="C9" s="55"/>
      <c r="E9" s="2" t="s">
        <v>70</v>
      </c>
      <c r="F9" s="40"/>
      <c r="G9" s="40"/>
      <c r="I9" s="2" t="s">
        <v>39</v>
      </c>
      <c r="J9" s="56">
        <v>35907</v>
      </c>
      <c r="K9" s="56"/>
    </row>
    <row r="10" spans="1:11" ht="15" customHeight="1" x14ac:dyDescent="0.25">
      <c r="A10" s="2" t="s">
        <v>67</v>
      </c>
      <c r="B10" s="12">
        <v>1730</v>
      </c>
      <c r="C10" s="13">
        <v>100</v>
      </c>
      <c r="E10" s="2" t="s">
        <v>72</v>
      </c>
      <c r="F10" s="40">
        <v>2907960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1878</v>
      </c>
      <c r="C11" s="41"/>
      <c r="E11" s="2" t="s">
        <v>73</v>
      </c>
      <c r="F11" s="40">
        <v>2932376</v>
      </c>
      <c r="G11" s="40"/>
      <c r="I11" s="2" t="s">
        <v>37</v>
      </c>
      <c r="J11" s="40">
        <v>107271065</v>
      </c>
      <c r="K11" s="40"/>
    </row>
    <row r="12" spans="1:11" ht="15" customHeight="1" x14ac:dyDescent="0.25">
      <c r="A12" s="2" t="s">
        <v>38</v>
      </c>
      <c r="B12" s="41">
        <v>202036</v>
      </c>
      <c r="C12" s="41"/>
      <c r="E12" s="2" t="s">
        <v>74</v>
      </c>
      <c r="F12" s="40">
        <v>2132297</v>
      </c>
      <c r="G12" s="40"/>
      <c r="I12" s="2" t="s">
        <v>35</v>
      </c>
      <c r="J12" s="40">
        <v>107090906</v>
      </c>
      <c r="K12" s="40"/>
    </row>
    <row r="13" spans="1:11" ht="15" customHeight="1" x14ac:dyDescent="0.25">
      <c r="E13" s="2" t="s">
        <v>75</v>
      </c>
      <c r="F13" s="40">
        <v>3203019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6964209</v>
      </c>
      <c r="G14" s="40"/>
      <c r="I14" s="2" t="s">
        <v>91</v>
      </c>
      <c r="J14" s="41"/>
      <c r="K14" s="41"/>
    </row>
    <row r="15" spans="1:11" ht="15" customHeight="1" x14ac:dyDescent="0.25">
      <c r="E15" s="2" t="s">
        <v>76</v>
      </c>
      <c r="F15" s="40">
        <v>1204288</v>
      </c>
      <c r="G15" s="40"/>
      <c r="I15" s="2" t="s">
        <v>92</v>
      </c>
      <c r="J15" s="57"/>
      <c r="K15" s="58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60">
        <v>16022024</v>
      </c>
      <c r="C18" s="60"/>
      <c r="E18" s="2" t="s">
        <v>28</v>
      </c>
      <c r="F18" s="61">
        <v>20022024</v>
      </c>
      <c r="G18" s="61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17">
        <v>2030</v>
      </c>
      <c r="C19" s="18">
        <v>300</v>
      </c>
      <c r="E19" s="2" t="s">
        <v>41</v>
      </c>
      <c r="F19" s="15">
        <v>700</v>
      </c>
      <c r="G19" s="16">
        <v>100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54">
        <v>8</v>
      </c>
      <c r="C20" s="54"/>
      <c r="D20" s="3"/>
      <c r="E20" s="2" t="s">
        <v>21</v>
      </c>
      <c r="F20" s="59">
        <v>1476.2</v>
      </c>
      <c r="G20" s="59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54">
        <v>200161</v>
      </c>
      <c r="C21" s="54"/>
      <c r="D21" s="3"/>
      <c r="E21" s="2" t="s">
        <v>134</v>
      </c>
      <c r="F21" s="59">
        <v>201636.6</v>
      </c>
      <c r="G21" s="59"/>
      <c r="H21" s="3"/>
      <c r="I21" s="2" t="s">
        <v>31</v>
      </c>
      <c r="J21" s="70"/>
      <c r="K21" s="70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66">
        <v>1107</v>
      </c>
      <c r="C23" s="66"/>
      <c r="D23" s="3"/>
      <c r="E23" s="2" t="s">
        <v>23</v>
      </c>
      <c r="F23" s="67">
        <v>1107</v>
      </c>
      <c r="G23" s="67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66">
        <v>0</v>
      </c>
      <c r="C24" s="66"/>
      <c r="D24" s="3"/>
      <c r="E24" s="2" t="s">
        <v>24</v>
      </c>
      <c r="F24" s="67">
        <v>0</v>
      </c>
      <c r="G24" s="67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66">
        <v>513.79999999999995</v>
      </c>
      <c r="C25" s="66"/>
      <c r="D25" s="3"/>
      <c r="E25" s="2" t="s">
        <v>17</v>
      </c>
      <c r="F25" s="67">
        <v>505.6</v>
      </c>
      <c r="G25" s="67"/>
      <c r="H25" s="3"/>
      <c r="I25" s="2" t="s">
        <v>32</v>
      </c>
      <c r="J25" s="70"/>
      <c r="K25" s="70"/>
    </row>
    <row r="26" spans="1:11" ht="15" customHeight="1" x14ac:dyDescent="0.25">
      <c r="A26" s="2" t="s">
        <v>25</v>
      </c>
      <c r="B26" s="68">
        <v>2915</v>
      </c>
      <c r="C26" s="68"/>
      <c r="D26" s="3"/>
      <c r="E26" s="2" t="s">
        <v>25</v>
      </c>
      <c r="F26" s="69">
        <v>2493.6999999999998</v>
      </c>
      <c r="G26" s="69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74" t="s">
        <v>107</v>
      </c>
      <c r="B28" s="75"/>
      <c r="C28" s="75"/>
      <c r="D28" s="75"/>
      <c r="E28" s="75"/>
      <c r="F28" s="75"/>
      <c r="G28" s="75"/>
      <c r="H28" s="75"/>
      <c r="I28" s="75"/>
      <c r="J28" s="75"/>
      <c r="K28" s="76"/>
    </row>
    <row r="29" spans="1:11" ht="15" customHeight="1" x14ac:dyDescent="0.25">
      <c r="A29" s="22" t="s">
        <v>42</v>
      </c>
      <c r="B29" s="71">
        <f>IF(F20="","",F20-B20)</f>
        <v>1468.2</v>
      </c>
      <c r="C29" s="71"/>
      <c r="E29" s="22" t="s">
        <v>146</v>
      </c>
      <c r="F29" s="72">
        <f>IF(B29="","",DATA!V21)</f>
        <v>84.500000000058208</v>
      </c>
      <c r="G29" s="72"/>
      <c r="H29" s="33"/>
      <c r="I29" s="22" t="s">
        <v>43</v>
      </c>
      <c r="J29" s="73">
        <f>IFERROR(ROUND(B29/F29,1),"")</f>
        <v>17.399999999999999</v>
      </c>
      <c r="K29" s="73"/>
    </row>
    <row r="30" spans="1:11" s="26" customFormat="1" ht="15" customHeight="1" x14ac:dyDescent="0.25">
      <c r="A30" s="32" t="s">
        <v>140</v>
      </c>
      <c r="B30" s="64">
        <f>IF(DATA!AB20&lt;&gt;"",DATA!AB20,DATA!AB21)</f>
        <v>0</v>
      </c>
      <c r="C30" s="64"/>
      <c r="E30" s="32" t="s">
        <v>141</v>
      </c>
      <c r="F30" s="64">
        <f>IF(DATA!AC20&lt;&gt;"",DATA!AC20,DATA!AC21)</f>
        <v>8.1999999999999318</v>
      </c>
      <c r="G30" s="64"/>
      <c r="I30" s="32" t="s">
        <v>142</v>
      </c>
      <c r="J30" s="65">
        <f>IF(DATA!AD20&lt;&gt;"",DATA!AD20,DATA!AD21)</f>
        <v>421.30000000000018</v>
      </c>
      <c r="K30" s="65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J21:K21"/>
    <mergeCell ref="B23:C23"/>
    <mergeCell ref="F23:G23"/>
    <mergeCell ref="I22:K22"/>
    <mergeCell ref="J23:K23"/>
    <mergeCell ref="B21:C21"/>
    <mergeCell ref="F21:G21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8:K8"/>
    <mergeCell ref="I4:K4"/>
    <mergeCell ref="J5:K5"/>
    <mergeCell ref="J6:K6"/>
    <mergeCell ref="J7:K7"/>
    <mergeCell ref="F20:G20"/>
    <mergeCell ref="B12:C12"/>
    <mergeCell ref="A17:C17"/>
    <mergeCell ref="E17:G17"/>
    <mergeCell ref="B18:C18"/>
    <mergeCell ref="F18:G18"/>
    <mergeCell ref="F13:G13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7" t="s">
        <v>51</v>
      </c>
      <c r="P1" s="77"/>
      <c r="Q1" s="77"/>
      <c r="R1" s="25" t="s">
        <v>149</v>
      </c>
      <c r="S1" s="27" t="s">
        <v>151</v>
      </c>
      <c r="T1" s="4" t="s">
        <v>150</v>
      </c>
      <c r="U1" s="25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7"/>
      <c r="P17" s="77"/>
      <c r="Q17" s="27"/>
      <c r="R17" s="4"/>
      <c r="S17" s="27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7" t="s">
        <v>51</v>
      </c>
      <c r="P18" s="77"/>
      <c r="Q18" s="77"/>
      <c r="R18" s="27" t="s">
        <v>149</v>
      </c>
      <c r="S18" s="27" t="s">
        <v>151</v>
      </c>
      <c r="T18" s="4" t="s">
        <v>150</v>
      </c>
      <c r="U18" s="27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16</v>
      </c>
      <c r="K20" s="6" t="str">
        <f>IF(LEN(ARRIVAL!B18)=8,IFERROR(MID(ARRIVAL!B18,3,2),""),IFERROR(MID(ARRIVAL!B18,2,2),""))</f>
        <v>02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20</v>
      </c>
      <c r="N20" s="6" t="str">
        <f>IFERROR(RIGHT(ARRIVAL!B19,2),"")</f>
        <v>30</v>
      </c>
      <c r="O20" s="6" t="str">
        <f>IFERROR(IF(LEN(ARRIVAL!C19)=3,LEFT(ARRIVAL!C19,1),IF(LEN(ARRIVAL!C19)=4,LEFT(ARRIVAL!C19,2),"")),"")</f>
        <v>3</v>
      </c>
      <c r="P20" s="6" t="str">
        <f>IFERROR(RIGHT(ARRIVAL!C19,2),"")</f>
        <v>00</v>
      </c>
      <c r="Q20" s="34">
        <f>IFERROR(S20*SIGN(O20),"")</f>
        <v>0.125</v>
      </c>
      <c r="R20" s="8">
        <f>IFERROR(TIME(M20,N20,0),"")</f>
        <v>0.85416666666666663</v>
      </c>
      <c r="S20" s="8">
        <f t="shared" ref="S20:S23" si="5">IFERROR(TIME(ABS(O20),ABS(P20),0),"")</f>
        <v>0.125</v>
      </c>
      <c r="T20" s="9">
        <f>IFERROR(DATE(L20,K20,J20)+R20,"")</f>
        <v>45338.854166666664</v>
      </c>
      <c r="U20" s="35">
        <f t="shared" ref="U20:U23" si="6">IFERROR(T20-Q20,"")</f>
        <v>45338.729166666664</v>
      </c>
      <c r="V20" s="11"/>
      <c r="W20" s="5" t="s">
        <v>59</v>
      </c>
      <c r="X20" s="31">
        <f>IFERROR(ARRIVAL!B23,"")</f>
        <v>1107</v>
      </c>
      <c r="Y20" s="31">
        <f>IFERROR(ARRIVAL!B24,"")</f>
        <v>0</v>
      </c>
      <c r="Z20" s="31">
        <f>IFERROR(ARRIVAL!B25,"")</f>
        <v>513.79999999999995</v>
      </c>
      <c r="AA20" s="31">
        <f>IFERROR(ARRIVAL!B26,"")</f>
        <v>2915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20</v>
      </c>
      <c r="K21" s="6" t="str">
        <f>IF(LEN(ARRIVAL!F18)=8,IFERROR(MID(ARRIVAL!F18,3,2),""),IFERROR(MID(ARRIVAL!F18,2,2),""))</f>
        <v>02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7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4">
        <f t="shared" ref="Q21:Q23" si="7">IFERROR(S21*SIGN(O21),"")</f>
        <v>4.1666666666666664E-2</v>
      </c>
      <c r="R21" s="8">
        <f t="shared" ref="R21:R23" si="8">IFERROR(TIME(M21,N21,0),"")</f>
        <v>0.29166666666666669</v>
      </c>
      <c r="S21" s="8">
        <f t="shared" si="5"/>
        <v>4.1666666666666664E-2</v>
      </c>
      <c r="T21" s="9">
        <f>IFERROR(DATE(L21,K21,J21)+R21,"")</f>
        <v>45342.291666666664</v>
      </c>
      <c r="U21" s="35">
        <f t="shared" si="6"/>
        <v>45342.25</v>
      </c>
      <c r="V21" s="11">
        <f>IFERROR(((24*(U21-U20))),"")</f>
        <v>84.500000000058208</v>
      </c>
      <c r="W21" s="5" t="s">
        <v>60</v>
      </c>
      <c r="X21" s="31">
        <f>IFERROR(ARRIVAL!F23,"")</f>
        <v>1107</v>
      </c>
      <c r="Y21" s="31">
        <f>IFERROR(ARRIVAL!F24,"")</f>
        <v>0</v>
      </c>
      <c r="Z21" s="31">
        <f>IFERROR(ARRIVAL!F25,"")</f>
        <v>505.6</v>
      </c>
      <c r="AA21" s="31">
        <f>IFERROR(ARRIVAL!F26,"")</f>
        <v>2493.6999999999998</v>
      </c>
      <c r="AB21" s="31">
        <f>IF($U$21&lt;&gt;"",(X20+Y20)-(X21+Y21),"")</f>
        <v>0</v>
      </c>
      <c r="AC21" s="31">
        <f>IF($U$21&lt;&gt;"",Z20-Z21,"")</f>
        <v>8.1999999999999318</v>
      </c>
      <c r="AD21" s="31">
        <f>IF($U$21&lt;&gt;"",AA20-AA21,"")</f>
        <v>421.30000000000018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2024-02-21T17:08:57Z</dcterms:modified>
</cp:coreProperties>
</file>