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3970" windowHeight="9660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<sst xmlns="http://schemas.openxmlformats.org/spreadsheetml/2006/main" count="212" uniqueCount="157">
  <si>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</si>
  <si>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</si>
  <si>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</si>
  <si>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</si>
  <si>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</si>
  <si>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</si>
  <si>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</si>
  <si>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</si>
  <si>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</si>
  <si>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</si>
  <si>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</si>
  <si>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</si>
  <si>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</si>
  <si>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</si>
  <si>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</si>
  <si>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</si>
  <si>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</si>
  <si>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</si>
  <si>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</si>
  <si>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</si>
  <si>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</si>
  <si>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</si>
  <si>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</si>
  <si>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</si>
  <si>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</si>
  <si>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</si>
  <si>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</si>
  <si>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</si>
  <si>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</si>
  <si>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</si>
  <si>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</si>
  <si>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</si>
  <si>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</si>
  <si>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</si>
  <si>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</si>
  <si>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</si>
  <si>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</si>
  <si>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</si>
  <si>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</si>
  <si>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</si>
  <si>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</si>
  <si>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</si>
  <si>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</si>
  <si>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</si>
  <si>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</si>
  <si>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</si>
  <si>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</si>
  <si>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</si>
  <si>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</si>
  <si>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</si>
  <si>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</si>
  <si>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</si>
  <si>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</si>
  <si>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</si>
  <si>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</si>
  <si>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</si>
  <si>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</si>
  <si>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</si>
  <si>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</si>
  <si>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</si>
  <si>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</si>
  <si>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</si>
  <si>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</si>
  <si>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</si>
  <si>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</si>
  <si>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</si>
  <si>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</si>
  <si>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</si>
  <si>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</si>
  <si>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</si>
  <si>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</si>
  <si>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</si>
  <si>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</si>
  <si>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</si>
  <si>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</si>
  <si>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</si>
  <si>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</si>
  <si>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</si>
  <si>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</si>
  <si>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</si>
  <si>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</si>
  <si>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</si>
  <si>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</si>
  <si>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</si>
  <si>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</si>
  <si>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</si>
  <si>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</si>
  <si>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</si>
  <si>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</si>
  <si>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</si>
  <si>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</si>
  <si>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</si>
  <si>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</si>
  <si>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</si>
  <si>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</si>
  <si>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</si>
  <si>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</si>
  <si>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</si>
  <si>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</si>
  <si>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</si>
  <si>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</si>
  <si>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</si>
  <si>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</si>
  <si>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</si>
  <si>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</si>
  <si>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</si>
  <si>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</si>
  <si>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</si>
  <si>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</si>
  <si>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</si>
  <si>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</si>
  <si>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</si>
  <si>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</si>
  <si>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</si>
  <si>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</si>
  <si>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</si>
  <si>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</si>
  <si>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</si>
  <si>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</si>
  <si>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</si>
  <si>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</si>
  <si>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</si>
  <si>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</si>
  <si>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</si>
  <si>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</si>
  <si>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</si>
  <si>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</si>
  <si>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</si>
  <si>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</si>
  <si>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</si>
  <si>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</si>
  <si>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</si>
  <si>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</si>
  <si>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</si>
  <si>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</si>
  <si>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</si>
  <si>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</si>
  <si>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</si>
  <si>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</si>
  <si>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</si>
  <si>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</si>
  <si>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</si>
  <si>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</si>
  <si>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</si>
  <si>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</si>
  <si>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</si>
  <si>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</si>
  <si>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</si>
  <si>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</si>
  <si>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</si>
  <si>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</si>
  <si>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</si>
  <si>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A.BEKAKCHA</t>
  </si>
  <si>
    <t>/</t>
  </si>
  <si>
    <t>029/24</t>
  </si>
  <si>
    <t>TRMAR</t>
  </si>
  <si>
    <t>NE /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</si>
</sst>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topLeftCell="A4" zoomScale="130" zoomScaleNormal="130" zoomScaleSheetLayoutView="130" workbookViewId="0">
      <selection activeCell="J23" sqref="J23:K25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37" t="s">
        <v>1</v>
      </c>
      <c r="B2" s="37"/>
      <c r="C2" s="37"/>
      <c r="E2" s="15" t="s">
        <v>34</v>
      </c>
      <c r="F2" s="38" t="s">
        <v>12</v>
      </c>
      <c r="G2" s="38"/>
      <c r="I2" s="16" t="s">
        <v>53</v>
      </c>
      <c r="J2" s="39" t="s">
        <v>152</v>
      </c>
      <c r="K2" s="39"/>
    </row>
    <row r="3" spans="1:11" ht="8.1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25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25">
      <c r="A5" s="2" t="s">
        <v>79</v>
      </c>
      <c r="B5" s="39" t="s">
        <v>109</v>
      </c>
      <c r="C5" s="39"/>
      <c r="E5" s="2" t="s">
        <v>40</v>
      </c>
      <c r="F5" s="43" t="s">
        <v>156</v>
      </c>
      <c r="G5" s="44"/>
      <c r="I5" s="2" t="s">
        <v>23</v>
      </c>
      <c r="J5" s="61">
        <v>1107</v>
      </c>
      <c r="K5" s="61"/>
    </row>
    <row r="6" spans="1:11" ht="15" customHeight="1" x14ac:dyDescent="0.25">
      <c r="A6" s="2" t="s">
        <v>78</v>
      </c>
      <c r="B6" s="39" t="s">
        <v>154</v>
      </c>
      <c r="C6" s="39"/>
      <c r="E6" s="2" t="s">
        <v>29</v>
      </c>
      <c r="F6" s="45">
        <v>1.3333333333333333</v>
      </c>
      <c r="G6" s="46"/>
      <c r="I6" s="2" t="s">
        <v>24</v>
      </c>
      <c r="J6" s="61"/>
      <c r="K6" s="61"/>
    </row>
    <row r="7" spans="1:11" ht="15" customHeight="1" x14ac:dyDescent="0.25">
      <c r="A7" s="2" t="s">
        <v>77</v>
      </c>
      <c r="B7" s="39" t="s">
        <v>155</v>
      </c>
      <c r="C7" s="39"/>
      <c r="E7" s="2" t="s">
        <v>36</v>
      </c>
      <c r="F7" s="47" t="s">
        <v>153</v>
      </c>
      <c r="G7" s="48"/>
      <c r="I7" s="2" t="s">
        <v>17</v>
      </c>
      <c r="J7" s="61">
        <v>619.14</v>
      </c>
      <c r="K7" s="61"/>
    </row>
    <row r="8" spans="1:11" ht="15" customHeight="1" x14ac:dyDescent="0.25">
      <c r="A8" s="2" t="s">
        <v>87</v>
      </c>
      <c r="B8" s="39" t="s">
        <v>90</v>
      </c>
      <c r="C8" s="39"/>
      <c r="E8" s="42" t="s">
        <v>69</v>
      </c>
      <c r="F8" s="42"/>
      <c r="G8" s="42"/>
      <c r="I8" s="2" t="s">
        <v>25</v>
      </c>
      <c r="J8" s="60">
        <v>167014.1</v>
      </c>
      <c r="K8" s="60"/>
    </row>
    <row r="9" spans="1:11" ht="15" customHeight="1" x14ac:dyDescent="0.25">
      <c r="A9" s="2" t="s">
        <v>66</v>
      </c>
      <c r="B9" s="54">
        <v>25072024</v>
      </c>
      <c r="C9" s="54"/>
      <c r="E9" s="2" t="s">
        <v>70</v>
      </c>
      <c r="F9" s="40"/>
      <c r="G9" s="40"/>
      <c r="I9" s="2" t="s">
        <v>39</v>
      </c>
      <c r="J9" s="55">
        <v>54777</v>
      </c>
      <c r="K9" s="55"/>
    </row>
    <row r="10" spans="1:11" ht="15" customHeight="1" x14ac:dyDescent="0.25">
      <c r="A10" s="2" t="s">
        <v>67</v>
      </c>
      <c r="B10" s="12">
        <v>1700</v>
      </c>
      <c r="C10" s="13">
        <v>300</v>
      </c>
      <c r="E10" s="2" t="s">
        <v>72</v>
      </c>
      <c r="F10" s="40">
        <v>4507457</v>
      </c>
      <c r="G10" s="40"/>
      <c r="I10" s="42" t="s">
        <v>56</v>
      </c>
      <c r="J10" s="42"/>
      <c r="K10" s="42"/>
    </row>
    <row r="11" spans="1:11" ht="15" customHeight="1" x14ac:dyDescent="0.25">
      <c r="A11" s="2" t="s">
        <v>20</v>
      </c>
      <c r="B11" s="41">
        <v>1684</v>
      </c>
      <c r="C11" s="41"/>
      <c r="E11" s="2" t="s">
        <v>73</v>
      </c>
      <c r="F11" s="40">
        <v>5839477</v>
      </c>
      <c r="G11" s="40"/>
      <c r="I11" s="2" t="s">
        <v>37</v>
      </c>
      <c r="J11" s="40">
        <v>115304610</v>
      </c>
      <c r="K11" s="40"/>
    </row>
    <row r="12" spans="1:11" ht="15" customHeight="1" x14ac:dyDescent="0.25">
      <c r="A12" s="2" t="s">
        <v>38</v>
      </c>
      <c r="B12" s="41">
        <v>238561</v>
      </c>
      <c r="C12" s="41"/>
      <c r="E12" s="2" t="s">
        <v>74</v>
      </c>
      <c r="F12" s="40">
        <v>4835965</v>
      </c>
      <c r="G12" s="40"/>
      <c r="I12" s="2" t="s">
        <v>35</v>
      </c>
      <c r="J12" s="40">
        <v>115118225</v>
      </c>
      <c r="K12" s="40"/>
    </row>
    <row r="13" spans="1:11" ht="15" customHeight="1" x14ac:dyDescent="0.25">
      <c r="E13" s="2" t="s">
        <v>75</v>
      </c>
      <c r="F13" s="40">
        <v>5008107</v>
      </c>
      <c r="G13" s="40"/>
      <c r="I13" s="42" t="s">
        <v>96</v>
      </c>
      <c r="J13" s="42"/>
      <c r="K13" s="42"/>
    </row>
    <row r="14" spans="1:11" ht="15" customHeight="1" x14ac:dyDescent="0.25">
      <c r="E14" s="2" t="s">
        <v>71</v>
      </c>
      <c r="F14" s="40">
        <v>8734303</v>
      </c>
      <c r="G14" s="40"/>
      <c r="I14" s="2" t="s">
        <v>91</v>
      </c>
      <c r="J14" s="41"/>
      <c r="K14" s="41"/>
    </row>
    <row r="15" spans="1:11" ht="15" customHeight="1" x14ac:dyDescent="0.25">
      <c r="E15" s="2" t="s">
        <v>76</v>
      </c>
      <c r="F15" s="40"/>
      <c r="G15" s="40"/>
      <c r="I15" s="2" t="s">
        <v>92</v>
      </c>
      <c r="J15" s="56"/>
      <c r="K15" s="57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25">
      <c r="A18" s="2" t="s">
        <v>16</v>
      </c>
      <c r="B18" s="59">
        <v>20072024</v>
      </c>
      <c r="C18" s="59"/>
      <c r="E18" s="2" t="s">
        <v>28</v>
      </c>
      <c r="F18" s="58">
        <v>25072024</v>
      </c>
      <c r="G18" s="58"/>
      <c r="I18" s="2" t="s">
        <v>0</v>
      </c>
      <c r="J18" s="52"/>
      <c r="K18" s="52"/>
    </row>
    <row r="19" spans="1:11" ht="15" customHeight="1" x14ac:dyDescent="0.25">
      <c r="A19" s="2" t="s">
        <v>41</v>
      </c>
      <c r="B19" s="34">
        <v>1600</v>
      </c>
      <c r="C19" s="35">
        <v>100</v>
      </c>
      <c r="E19" s="2" t="s">
        <v>41</v>
      </c>
      <c r="F19" s="32">
        <v>430</v>
      </c>
      <c r="G19" s="33">
        <v>300</v>
      </c>
      <c r="I19" s="2" t="s">
        <v>30</v>
      </c>
      <c r="J19" s="53"/>
      <c r="K19" s="53"/>
    </row>
    <row r="20" spans="1:11" ht="15" customHeight="1" x14ac:dyDescent="0.25">
      <c r="A20" s="2" t="s">
        <v>22</v>
      </c>
      <c r="B20" s="71">
        <v>20</v>
      </c>
      <c r="C20" s="71"/>
      <c r="D20" s="3"/>
      <c r="E20" s="2" t="s">
        <v>21</v>
      </c>
      <c r="F20" s="74">
        <v>1566</v>
      </c>
      <c r="G20" s="74"/>
      <c r="H20" s="3"/>
      <c r="I20" s="2" t="s">
        <v>41</v>
      </c>
      <c r="J20" s="14"/>
      <c r="K20" s="19"/>
    </row>
    <row r="21" spans="1:11" ht="15" customHeight="1" x14ac:dyDescent="0.25">
      <c r="A21" s="2" t="s">
        <v>135</v>
      </c>
      <c r="B21" s="71">
        <v>236920</v>
      </c>
      <c r="C21" s="71"/>
      <c r="D21" s="3"/>
      <c r="E21" s="2" t="s">
        <v>134</v>
      </c>
      <c r="F21" s="74">
        <v>238444.6</v>
      </c>
      <c r="G21" s="74"/>
      <c r="H21" s="3"/>
      <c r="I21" s="2" t="s">
        <v>31</v>
      </c>
      <c r="J21" s="62"/>
      <c r="K21" s="62"/>
    </row>
    <row r="22" spans="1:11" ht="15" customHeight="1" x14ac:dyDescent="0.25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25">
      <c r="A23" s="2" t="s">
        <v>23</v>
      </c>
      <c r="B23" s="73">
        <v>1107</v>
      </c>
      <c r="C23" s="73"/>
      <c r="D23" s="3"/>
      <c r="E23" s="2" t="s">
        <v>23</v>
      </c>
      <c r="F23" s="76">
        <v>1107</v>
      </c>
      <c r="G23" s="76"/>
      <c r="H23" s="3"/>
      <c r="I23" s="2" t="s">
        <v>33</v>
      </c>
      <c r="J23" s="53"/>
      <c r="K23" s="53"/>
    </row>
    <row r="24" spans="1:11" ht="15" customHeight="1" x14ac:dyDescent="0.25">
      <c r="A24" s="2" t="s">
        <v>24</v>
      </c>
      <c r="B24" s="73"/>
      <c r="C24" s="73"/>
      <c r="D24" s="3"/>
      <c r="E24" s="2" t="s">
        <v>24</v>
      </c>
      <c r="F24" s="76"/>
      <c r="G24" s="76"/>
      <c r="H24" s="3"/>
      <c r="I24" s="2" t="s">
        <v>41</v>
      </c>
      <c r="J24" s="14"/>
      <c r="K24" s="19"/>
    </row>
    <row r="25" spans="1:11" ht="15" customHeight="1" x14ac:dyDescent="0.25">
      <c r="A25" s="2" t="s">
        <v>17</v>
      </c>
      <c r="B25" s="73">
        <v>628.47</v>
      </c>
      <c r="C25" s="73"/>
      <c r="D25" s="3"/>
      <c r="E25" s="2" t="s">
        <v>17</v>
      </c>
      <c r="F25" s="76">
        <v>623.29999999999995</v>
      </c>
      <c r="G25" s="76"/>
      <c r="H25" s="3"/>
      <c r="I25" s="2" t="s">
        <v>32</v>
      </c>
      <c r="J25" s="62"/>
      <c r="K25" s="62"/>
    </row>
    <row r="26" spans="1:11" ht="15" customHeight="1" x14ac:dyDescent="0.25">
      <c r="A26" s="2" t="s">
        <v>25</v>
      </c>
      <c r="B26" s="72">
        <v>167953.3</v>
      </c>
      <c r="C26" s="72"/>
      <c r="D26" s="3"/>
      <c r="E26" s="2" t="s">
        <v>25</v>
      </c>
      <c r="F26" s="75">
        <v>167170</v>
      </c>
      <c r="G26" s="75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68" t="s">
        <v>107</v>
      </c>
      <c r="B28" s="69"/>
      <c r="C28" s="69"/>
      <c r="D28" s="69"/>
      <c r="E28" s="69"/>
      <c r="F28" s="69"/>
      <c r="G28" s="69"/>
      <c r="H28" s="69"/>
      <c r="I28" s="69"/>
      <c r="J28" s="69"/>
      <c r="K28" s="70"/>
    </row>
    <row r="29" spans="1:11" ht="15" customHeight="1" x14ac:dyDescent="0.25">
      <c r="A29" s="18" t="s">
        <v>42</v>
      </c>
      <c r="B29" s="65">
        <f>IF(F20="","",F20-B20)</f>
        <v>1546</v>
      </c>
      <c r="C29" s="65"/>
      <c r="E29" s="18" t="s">
        <v>146</v>
      </c>
      <c r="F29" s="66">
        <f>IF(B29="","",DATA!V21)</f>
        <v>106.5</v>
      </c>
      <c r="G29" s="66"/>
      <c r="H29" s="29"/>
      <c r="I29" s="18" t="s">
        <v>43</v>
      </c>
      <c r="J29" s="67">
        <f>IFERROR(ROUND(B29/F29,1),"")</f>
        <v>14.5</v>
      </c>
      <c r="K29" s="67"/>
    </row>
    <row r="30" spans="1:11" s="22" customFormat="1" ht="15" customHeight="1" x14ac:dyDescent="0.25">
      <c r="A30" s="28" t="s">
        <v>140</v>
      </c>
      <c r="B30" s="63">
        <f>IF(DATA!AB20&lt;&gt;"",DATA!AB20,DATA!AB21)</f>
        <v>0</v>
      </c>
      <c r="C30" s="63"/>
      <c r="E30" s="28" t="s">
        <v>141</v>
      </c>
      <c r="F30" s="63">
        <f>IF(DATA!AC20&lt;&gt;"",DATA!AC20,DATA!AC21)</f>
        <v>5.1700000000000728</v>
      </c>
      <c r="G30" s="63"/>
      <c r="I30" s="28" t="s">
        <v>142</v>
      </c>
      <c r="J30" s="64">
        <f>IF(DATA!AD20&lt;&gt;"",DATA!AD20,DATA!AD21)</f>
        <v>783.29999999998836</v>
      </c>
      <c r="K30" s="64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F20:G20"/>
    <mergeCell ref="F21:G21"/>
    <mergeCell ref="F26:G26"/>
    <mergeCell ref="F25:G25"/>
    <mergeCell ref="F24:G24"/>
    <mergeCell ref="F23:G23"/>
    <mergeCell ref="B20:C20"/>
    <mergeCell ref="B21:C21"/>
    <mergeCell ref="B26:C26"/>
    <mergeCell ref="B25:C25"/>
    <mergeCell ref="B24:C24"/>
    <mergeCell ref="B23:C23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J8:K8"/>
    <mergeCell ref="I4:K4"/>
    <mergeCell ref="J5:K5"/>
    <mergeCell ref="J6:K6"/>
    <mergeCell ref="J7:K7"/>
    <mergeCell ref="A17:C17"/>
    <mergeCell ref="E17:G17"/>
    <mergeCell ref="F13:G13"/>
    <mergeCell ref="F18:G18"/>
    <mergeCell ref="B18:C18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7" t="s">
        <v>51</v>
      </c>
      <c r="P1" s="77"/>
      <c r="Q1" s="77"/>
      <c r="R1" s="21" t="s">
        <v>149</v>
      </c>
      <c r="S1" s="23" t="s">
        <v>151</v>
      </c>
      <c r="T1" s="4" t="s">
        <v>150</v>
      </c>
      <c r="U1" s="21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7"/>
      <c r="P17" s="77"/>
      <c r="Q17" s="23"/>
      <c r="R17" s="4"/>
      <c r="S17" s="23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7" t="s">
        <v>51</v>
      </c>
      <c r="P18" s="77"/>
      <c r="Q18" s="77"/>
      <c r="R18" s="23" t="s">
        <v>149</v>
      </c>
      <c r="S18" s="23" t="s">
        <v>151</v>
      </c>
      <c r="T18" s="4" t="s">
        <v>150</v>
      </c>
      <c r="U18" s="23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20</v>
      </c>
      <c r="K20" s="6" t="str">
        <f>IF(LEN(ARRIVAL!B18)=8,IFERROR(MID(ARRIVAL!B18,3,2),""),IFERROR(MID(ARRIVAL!B18,2,2),""))</f>
        <v>07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16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0">
        <f>IFERROR(S20*SIGN(O20),"")</f>
        <v>4.1666666666666664E-2</v>
      </c>
      <c r="R20" s="8">
        <f>IFERROR(TIME(M20,N20,0),"")</f>
        <v>0.66666666666666663</v>
      </c>
      <c r="S20" s="8">
        <f t="shared" ref="S20:S23" si="5">IFERROR(TIME(ABS(O20),ABS(P20),0),"")</f>
        <v>4.1666666666666664E-2</v>
      </c>
      <c r="T20" s="9">
        <f>IFERROR(DATE(L20,K20,J20)+R20,"")</f>
        <v>45493.666666666664</v>
      </c>
      <c r="U20" s="31">
        <f t="shared" ref="U20:U23" si="6">IFERROR(T20-Q20,"")</f>
        <v>45493.625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628.47</v>
      </c>
      <c r="AA20" s="27">
        <f>IFERROR(ARRIVAL!B26,"")</f>
        <v>167953.3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25</v>
      </c>
      <c r="K21" s="6" t="str">
        <f>IF(LEN(ARRIVAL!F18)=8,IFERROR(MID(ARRIVAL!F18,3,2),""),IFERROR(MID(ARRIVAL!F18,2,2),""))</f>
        <v>07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4</v>
      </c>
      <c r="N21" s="6" t="str">
        <f>IFERROR(RIGHT(ARRIVAL!F19,2),"")</f>
        <v>30</v>
      </c>
      <c r="O21" s="6" t="str">
        <f>IFERROR(IF(LEN(ARRIVAL!G19)=3,LEFT(ARRIVAL!G19,1),IF(LEN(ARRIVAL!G19)=4,LEFT(ARRIVAL!G19,2),"")),"")</f>
        <v>3</v>
      </c>
      <c r="P21" s="6" t="str">
        <f>IFERROR(RIGHT(ARRIVAL!G19,2),"")</f>
        <v>00</v>
      </c>
      <c r="Q21" s="30">
        <f t="shared" ref="Q21:Q23" si="7">IFERROR(S21*SIGN(O21),"")</f>
        <v>0.125</v>
      </c>
      <c r="R21" s="8">
        <f t="shared" ref="R21:R23" si="8">IFERROR(TIME(M21,N21,0),"")</f>
        <v>0.1875</v>
      </c>
      <c r="S21" s="8">
        <f t="shared" si="5"/>
        <v>0.125</v>
      </c>
      <c r="T21" s="9">
        <f>IFERROR(DATE(L21,K21,J21)+R21,"")</f>
        <v>45498.1875</v>
      </c>
      <c r="U21" s="31">
        <f t="shared" si="6"/>
        <v>45498.0625</v>
      </c>
      <c r="V21" s="11">
        <f>IFERROR(((24*(U21-U20))),"")</f>
        <v>106.5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623.29999999999995</v>
      </c>
      <c r="AA21" s="27">
        <f>IFERROR(ARRIVAL!F26,"")</f>
        <v>167170</v>
      </c>
      <c r="AB21" s="27">
        <f>IF($U$21&lt;&gt;"",(X20+Y20)-(X21+Y21),"")</f>
        <v>0</v>
      </c>
      <c r="AC21" s="27">
        <f>IF($U$21&lt;&gt;"",Z20-Z21,"")</f>
        <v>5.1700000000000728</v>
      </c>
      <c r="AD21" s="27">
        <f>IF($U$21&lt;&gt;"",AA20-AA21,"")</f>
        <v>783.29999999998836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2024-07-25T14:30:55Z</dcterms:modified>
</cp:coreProperties>
</file>