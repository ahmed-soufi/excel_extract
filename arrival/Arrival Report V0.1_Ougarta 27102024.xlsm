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xr:revisionPtr revIDLastSave="0" documentId="13_ncr:1_{3D3F8C9B-B6B5-4600-8270-0977BCB6CC03}" xr6:coauthVersionLast="45" xr6:coauthVersionMax="45" xr10:uidLastSave="{00000000-0000-0000-0000-000000000000}"/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-120" yWindow="-120" windowWidth="24240" windowHeight="13140" xr2:uid="{00000000-000D-0000-FFFF-FFFF00000000}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 xr:uid="{00000000-0006-0000-0000-000002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 xr:uid="{00000000-0006-0000-0000-000003000000}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 xr:uid="{00000000-0006-0000-0000-000004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5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6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7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8000000}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 xr:uid="{00000000-0006-0000-0000-000009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B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 xr:uid="{00000000-0006-0000-0000-00000C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D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 xr:uid="{00000000-0006-0000-0000-00000E000000}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 xr:uid="{00000000-0006-0000-0000-00000F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0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 xr:uid="{00000000-0006-0000-0000-000011000000}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 xr:uid="{00000000-0006-0000-0000-000012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 xr:uid="{00000000-0006-0000-0000-000013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 xr:uid="{00000000-0006-0000-0000-000016000000}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 xr:uid="{00000000-0006-0000-0000-000017000000}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 xr:uid="{00000000-0006-0000-0000-000018000000}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 xr:uid="{00000000-0006-0000-0000-000019000000}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 xr:uid="{00000000-0006-0000-0000-00001A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 xr:uid="{00000000-0006-0000-0000-00001B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 xr:uid="{00000000-0006-0000-0000-00001C000000}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 xr:uid="{00000000-0006-0000-0000-00001D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 xr:uid="{00000000-0006-0000-0000-00001E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 xr:uid="{00000000-0006-0000-0000-00001F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 xr:uid="{00000000-0006-0000-0000-000020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 xr:uid="{00000000-0006-0000-0000-000021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 xr:uid="{00000000-0006-0000-0000-000022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 xr:uid="{00000000-0006-0000-0000-000023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 xr:uid="{00000000-0006-0000-0000-00002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 xr:uid="{00000000-0006-0000-0000-000025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 xr:uid="{00000000-0006-0000-0000-000026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 xr:uid="{00000000-0006-0000-0000-000027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 xr:uid="{00000000-0006-0000-0000-000028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 xr:uid="{00000000-0006-0000-0000-000029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 xr:uid="{00000000-0006-0000-0000-00002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 xr:uid="{00000000-0006-0000-0000-00002B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 xr:uid="{00000000-0006-0000-0000-00002C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 xr:uid="{00000000-0006-0000-0000-00002D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 xr:uid="{00000000-0006-0000-0000-00002E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 xr:uid="{00000000-0006-0000-0000-00002F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 xr:uid="{00000000-0006-0000-0000-000030000000}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<sst xmlns="http://schemas.openxmlformats.org/spreadsheetml/2006/main" count="212" uniqueCount="156">
  <si>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</si>
  <si>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</si>
  <si>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</si>
  <si>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</si>
  <si>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</si>
  <si>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</si>
  <si>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</si>
  <si>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</si>
  <si>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</si>
  <si>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</si>
  <si>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</si>
  <si>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</si>
  <si>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</si>
  <si>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</si>
  <si>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</si>
  <si>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</si>
  <si>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</si>
  <si>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</si>
  <si>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</si>
  <si>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</si>
  <si>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</si>
  <si>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</si>
  <si>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</si>
  <si>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</si>
  <si>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</si>
  <si>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</si>
  <si>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</si>
  <si>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</si>
  <si>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</si>
  <si>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</si>
  <si>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</si>
  <si>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</si>
  <si>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</si>
  <si>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</si>
  <si>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</si>
  <si>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</si>
  <si>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</si>
  <si>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</si>
  <si>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</si>
  <si>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</si>
  <si>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</si>
  <si>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</si>
  <si>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</si>
  <si>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</si>
  <si>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</si>
  <si>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</si>
  <si>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</si>
  <si>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</si>
  <si>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</si>
  <si>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</si>
  <si>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</si>
  <si>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</si>
  <si>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</si>
  <si>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</si>
  <si>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</si>
  <si>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</si>
  <si>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</si>
  <si>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</si>
  <si>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</si>
  <si>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</si>
  <si>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</si>
  <si>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</si>
  <si>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</si>
  <si>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</si>
  <si>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</si>
  <si>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</si>
  <si>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</si>
  <si>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</si>
  <si>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</si>
  <si>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</si>
  <si>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</si>
  <si>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</si>
  <si>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</si>
  <si>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</si>
  <si>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</si>
  <si>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</si>
  <si>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</si>
  <si>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</si>
  <si>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</si>
  <si>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</si>
  <si>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</si>
  <si>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</si>
  <si>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</si>
  <si>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</si>
  <si>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</si>
  <si>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</si>
  <si>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</si>
  <si>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</si>
  <si>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</si>
  <si>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</si>
  <si>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</si>
  <si>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</si>
  <si>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</si>
  <si>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</si>
  <si>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</si>
  <si>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</si>
  <si>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</si>
  <si>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</si>
  <si>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</si>
  <si>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</si>
  <si>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</si>
  <si>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</si>
  <si>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</si>
  <si>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</si>
  <si>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</si>
  <si>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</si>
  <si>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</si>
  <si>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</si>
  <si>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</si>
  <si>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</si>
  <si>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</si>
  <si>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</si>
  <si>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</si>
  <si>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</si>
  <si>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</si>
  <si>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</si>
  <si>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</si>
  <si>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</si>
  <si>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</si>
  <si>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</si>
  <si>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</si>
  <si>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</si>
  <si>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</si>
  <si>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</si>
  <si>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</si>
  <si>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</si>
  <si>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</si>
  <si>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</si>
  <si>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</si>
  <si>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</si>
  <si>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</si>
  <si>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</si>
  <si>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</si>
  <si>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</si>
  <si>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</si>
  <si>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</si>
  <si>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</si>
  <si>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</si>
  <si>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</si>
  <si>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</si>
  <si>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</si>
  <si>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</si>
  <si>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</si>
  <si>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</si>
  <si>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</si>
  <si>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</si>
  <si>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</si>
  <si>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</si>
  <si>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</si>
  <si>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</si>
  <si>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</si>
  <si>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</si>
  <si>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</si>
  <si>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43/24</t>
  </si>
  <si>
    <t>ITPIO</t>
  </si>
  <si>
    <t>SE/3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</si>
</sst>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61"/>
  <sheetViews>
    <sheetView tabSelected="1" view="pageBreakPreview" topLeftCell="A4" zoomScale="130" zoomScaleNormal="130" zoomScaleSheetLayoutView="130" workbookViewId="0">
      <selection activeCell="B10" sqref="B10"/>
    </sheetView>
  </sheetViews>
  <sheetFormatPr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108</v>
      </c>
      <c r="C5" s="39"/>
      <c r="E5" s="2" t="s">
        <v>40</v>
      </c>
      <c r="F5" s="43" t="s">
        <v>155</v>
      </c>
      <c r="G5" s="44"/>
      <c r="I5" s="2" t="s">
        <v>23</v>
      </c>
      <c r="J5" s="62">
        <v>1107</v>
      </c>
      <c r="K5" s="62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1</v>
      </c>
      <c r="G6" s="46"/>
      <c r="I6" s="2" t="s">
        <v>24</v>
      </c>
      <c r="J6" s="62">
        <v>0</v>
      </c>
      <c r="K6" s="62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>
        <v>0</v>
      </c>
      <c r="G7" s="48"/>
      <c r="I7" s="2" t="s">
        <v>17</v>
      </c>
      <c r="J7" s="62">
        <v>595.70000000000005</v>
      </c>
      <c r="K7" s="62"/>
    </row>
    <row r="8" spans="1:11" ht="15" customHeight="1" x14ac:dyDescent="0.25">
      <c r="A8" s="2" t="s">
        <v>87</v>
      </c>
      <c r="B8" s="39" t="s">
        <v>89</v>
      </c>
      <c r="C8" s="39"/>
      <c r="E8" s="42" t="s">
        <v>69</v>
      </c>
      <c r="F8" s="42"/>
      <c r="G8" s="42"/>
      <c r="I8" s="2" t="s">
        <v>25</v>
      </c>
      <c r="J8" s="61">
        <v>146378</v>
      </c>
      <c r="K8" s="61"/>
    </row>
    <row r="9" spans="1:11" ht="15" customHeight="1" x14ac:dyDescent="0.25">
      <c r="A9" s="2" t="s">
        <v>66</v>
      </c>
      <c r="B9" s="54">
        <v>27102024</v>
      </c>
      <c r="C9" s="54"/>
      <c r="E9" s="2" t="s">
        <v>70</v>
      </c>
      <c r="F9" s="40"/>
      <c r="G9" s="40"/>
      <c r="I9" s="2" t="s">
        <v>39</v>
      </c>
      <c r="J9" s="55">
        <v>77723</v>
      </c>
      <c r="K9" s="55"/>
    </row>
    <row r="10" spans="1:11" ht="15" customHeight="1" x14ac:dyDescent="0.25">
      <c r="A10" s="2" t="s">
        <v>67</v>
      </c>
      <c r="B10" s="12">
        <v>24</v>
      </c>
      <c r="C10" s="13">
        <v>200</v>
      </c>
      <c r="E10" s="2" t="s">
        <v>72</v>
      </c>
      <c r="F10" s="40">
        <v>5706876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1142</v>
      </c>
      <c r="C11" s="41"/>
      <c r="E11" s="2" t="s">
        <v>73</v>
      </c>
      <c r="F11" s="40">
        <v>8224878</v>
      </c>
      <c r="G11" s="40"/>
      <c r="I11" s="2" t="s">
        <v>37</v>
      </c>
      <c r="J11" s="40">
        <v>119453706</v>
      </c>
      <c r="K11" s="40"/>
    </row>
    <row r="12" spans="1:11" ht="15" customHeight="1" x14ac:dyDescent="0.25">
      <c r="A12" s="2" t="s">
        <v>38</v>
      </c>
      <c r="B12" s="41">
        <v>261804</v>
      </c>
      <c r="C12" s="41"/>
      <c r="E12" s="2" t="s">
        <v>74</v>
      </c>
      <c r="F12" s="40">
        <v>7610618</v>
      </c>
      <c r="G12" s="40"/>
      <c r="I12" s="2" t="s">
        <v>35</v>
      </c>
      <c r="J12" s="40">
        <v>119268146</v>
      </c>
      <c r="K12" s="40"/>
    </row>
    <row r="13" spans="1:11" ht="15" customHeight="1" x14ac:dyDescent="0.25">
      <c r="E13" s="2" t="s">
        <v>75</v>
      </c>
      <c r="F13" s="40">
        <v>5578288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9549956</v>
      </c>
      <c r="G14" s="40"/>
      <c r="I14" s="2" t="s">
        <v>91</v>
      </c>
      <c r="J14" s="41">
        <v>0</v>
      </c>
      <c r="K14" s="41"/>
    </row>
    <row r="15" spans="1:11" ht="15" customHeight="1" x14ac:dyDescent="0.25">
      <c r="E15" s="2" t="s">
        <v>76</v>
      </c>
      <c r="F15" s="40">
        <v>1266498</v>
      </c>
      <c r="G15" s="40"/>
      <c r="I15" s="2" t="s">
        <v>92</v>
      </c>
      <c r="J15" s="56">
        <v>0</v>
      </c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22102024</v>
      </c>
      <c r="C18" s="60"/>
      <c r="E18" s="2" t="s">
        <v>28</v>
      </c>
      <c r="F18" s="58">
        <v>26102024</v>
      </c>
      <c r="G18" s="59"/>
      <c r="I18" s="2" t="s">
        <v>0</v>
      </c>
      <c r="J18" s="52" t="s">
        <v>154</v>
      </c>
      <c r="K18" s="52"/>
    </row>
    <row r="19" spans="1:11" ht="15" customHeight="1" x14ac:dyDescent="0.25">
      <c r="A19" s="2" t="s">
        <v>41</v>
      </c>
      <c r="B19" s="34">
        <v>2300</v>
      </c>
      <c r="C19" s="35">
        <v>100</v>
      </c>
      <c r="E19" s="2" t="s">
        <v>41</v>
      </c>
      <c r="F19" s="32">
        <v>1100</v>
      </c>
      <c r="G19" s="33">
        <v>200</v>
      </c>
      <c r="I19" s="2" t="s">
        <v>30</v>
      </c>
      <c r="J19" s="53">
        <v>26102024</v>
      </c>
      <c r="K19" s="53"/>
    </row>
    <row r="20" spans="1:11" ht="15" customHeight="1" x14ac:dyDescent="0.25">
      <c r="A20" s="2" t="s">
        <v>22</v>
      </c>
      <c r="B20" s="72">
        <v>8</v>
      </c>
      <c r="C20" s="72"/>
      <c r="D20" s="3"/>
      <c r="E20" s="2" t="s">
        <v>21</v>
      </c>
      <c r="F20" s="75">
        <v>1128</v>
      </c>
      <c r="G20" s="75"/>
      <c r="H20" s="3"/>
      <c r="I20" s="2" t="s">
        <v>41</v>
      </c>
      <c r="J20" s="14">
        <v>1320</v>
      </c>
      <c r="K20" s="19">
        <v>200</v>
      </c>
    </row>
    <row r="21" spans="1:11" ht="15" customHeight="1" x14ac:dyDescent="0.25">
      <c r="A21" s="2" t="s">
        <v>135</v>
      </c>
      <c r="B21" s="72">
        <v>259231</v>
      </c>
      <c r="C21" s="72"/>
      <c r="D21" s="3"/>
      <c r="E21" s="2" t="s">
        <v>134</v>
      </c>
      <c r="F21" s="75">
        <v>261794</v>
      </c>
      <c r="G21" s="75"/>
      <c r="H21" s="3"/>
      <c r="I21" s="2" t="s">
        <v>31</v>
      </c>
      <c r="J21" s="63">
        <v>1133</v>
      </c>
      <c r="K21" s="63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4">
        <v>1107</v>
      </c>
      <c r="C23" s="74"/>
      <c r="D23" s="3"/>
      <c r="E23" s="2" t="s">
        <v>23</v>
      </c>
      <c r="F23" s="77">
        <v>1107</v>
      </c>
      <c r="G23" s="77"/>
      <c r="H23" s="3"/>
      <c r="I23" s="2" t="s">
        <v>33</v>
      </c>
      <c r="J23" s="53">
        <v>26102024</v>
      </c>
      <c r="K23" s="53"/>
    </row>
    <row r="24" spans="1:11" ht="15" customHeight="1" x14ac:dyDescent="0.25">
      <c r="A24" s="2" t="s">
        <v>24</v>
      </c>
      <c r="B24" s="74">
        <v>0</v>
      </c>
      <c r="C24" s="74"/>
      <c r="D24" s="3"/>
      <c r="E24" s="2" t="s">
        <v>24</v>
      </c>
      <c r="F24" s="77">
        <v>0</v>
      </c>
      <c r="G24" s="77"/>
      <c r="H24" s="3"/>
      <c r="I24" s="2" t="s">
        <v>41</v>
      </c>
      <c r="J24" s="14">
        <v>2255</v>
      </c>
      <c r="K24" s="19">
        <v>200</v>
      </c>
    </row>
    <row r="25" spans="1:11" ht="15" customHeight="1" x14ac:dyDescent="0.25">
      <c r="A25" s="2" t="s">
        <v>17</v>
      </c>
      <c r="B25" s="74">
        <v>603.64</v>
      </c>
      <c r="C25" s="74"/>
      <c r="D25" s="3"/>
      <c r="E25" s="2" t="s">
        <v>17</v>
      </c>
      <c r="F25" s="77">
        <v>597.79999999999995</v>
      </c>
      <c r="G25" s="77"/>
      <c r="H25" s="3"/>
      <c r="I25" s="2" t="s">
        <v>32</v>
      </c>
      <c r="J25" s="63">
        <v>1134</v>
      </c>
      <c r="K25" s="63"/>
    </row>
    <row r="26" spans="1:11" ht="15" customHeight="1" x14ac:dyDescent="0.25">
      <c r="A26" s="2" t="s">
        <v>25</v>
      </c>
      <c r="B26" s="73">
        <v>146963.20000000001</v>
      </c>
      <c r="C26" s="73"/>
      <c r="D26" s="3"/>
      <c r="E26" s="2" t="s">
        <v>25</v>
      </c>
      <c r="F26" s="76">
        <v>146538</v>
      </c>
      <c r="G26" s="76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18" t="s">
        <v>42</v>
      </c>
      <c r="B29" s="66">
        <f>IF(F20="","",F20-B20)</f>
        <v>1120</v>
      </c>
      <c r="C29" s="66"/>
      <c r="E29" s="18" t="s">
        <v>146</v>
      </c>
      <c r="F29" s="67">
        <f>IF(B29="","",DATA!V21)</f>
        <v>82.999999999883585</v>
      </c>
      <c r="G29" s="67"/>
      <c r="H29" s="29"/>
      <c r="I29" s="18" t="s">
        <v>43</v>
      </c>
      <c r="J29" s="68">
        <f>IFERROR(ROUND(B29/F29,1),"")</f>
        <v>13.5</v>
      </c>
      <c r="K29" s="68"/>
    </row>
    <row r="30" spans="1:11" s="22" customFormat="1" ht="15" customHeight="1" x14ac:dyDescent="0.25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5.8400000000000318</v>
      </c>
      <c r="G30" s="64"/>
      <c r="I30" s="28" t="s">
        <v>142</v>
      </c>
      <c r="J30" s="65">
        <f>IF(DATA!AD20&lt;&gt;"",DATA!AD20,DATA!AD21)</f>
        <v>425.20000000001164</v>
      </c>
      <c r="K30" s="65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 xr:uid="{00000000-0002-0000-0000-000000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2000000}">
          <x14:formula1>
            <xm:f>DATA!$F$10:$F$15</xm:f>
          </x14:formula1>
          <xm:sqref>B5:C5</xm:sqref>
        </x14:dataValidation>
        <x14:dataValidation type="list" operator="equal" showInputMessage="1" showErrorMessage="1" xr:uid="{00000000-0002-0000-0000-000003000000}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topLeftCell="G1" zoomScaleNormal="100" workbookViewId="0">
      <selection activeCell="V23" sqref="V23"/>
    </sheetView>
  </sheetViews>
  <sheetFormatPr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8" t="s">
        <v>51</v>
      </c>
      <c r="P1" s="78"/>
      <c r="Q1" s="78"/>
      <c r="R1" s="21" t="s">
        <v>149</v>
      </c>
      <c r="S1" s="23" t="s">
        <v>151</v>
      </c>
      <c r="T1" s="4" t="s">
        <v>150</v>
      </c>
      <c r="U1" s="21" t="s">
        <v>52</v>
      </c>
      <c r="V1" s="78" t="s">
        <v>58</v>
      </c>
      <c r="W1" s="78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8"/>
      <c r="P17" s="78"/>
      <c r="Q17" s="23"/>
      <c r="R17" s="4"/>
      <c r="S17" s="23"/>
      <c r="T17" s="78"/>
      <c r="U17" s="78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8" t="s">
        <v>51</v>
      </c>
      <c r="P18" s="78"/>
      <c r="Q18" s="78"/>
      <c r="R18" s="23" t="s">
        <v>149</v>
      </c>
      <c r="S18" s="23" t="s">
        <v>151</v>
      </c>
      <c r="T18" s="4" t="s">
        <v>150</v>
      </c>
      <c r="U18" s="23" t="s">
        <v>52</v>
      </c>
      <c r="V18" s="78" t="s">
        <v>58</v>
      </c>
      <c r="W18" s="78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22</v>
      </c>
      <c r="K20" s="6" t="str">
        <f>IF(LEN(ARRIVAL!B18)=8,IFERROR(MID(ARRIVAL!B18,3,2),""),IFERROR(MID(ARRIVAL!B18,2,2),""))</f>
        <v>10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23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0.95833333333333337</v>
      </c>
      <c r="S20" s="8">
        <f t="shared" ref="S20:S23" si="5">IFERROR(TIME(ABS(O20),ABS(P20),0),"")</f>
        <v>4.1666666666666664E-2</v>
      </c>
      <c r="T20" s="9">
        <f>IFERROR(DATE(L20,K20,J20)+R20,"")</f>
        <v>45587.958333333336</v>
      </c>
      <c r="U20" s="31">
        <f t="shared" ref="U20:U23" si="6">IFERROR(T20-Q20,"")</f>
        <v>45587.916666666672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603.64</v>
      </c>
      <c r="AA20" s="27">
        <f>IFERROR(ARRIVAL!B26,"")</f>
        <v>146963.20000000001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26</v>
      </c>
      <c r="K21" s="6" t="str">
        <f>IF(LEN(ARRIVAL!F18)=8,IFERROR(MID(ARRIVAL!F18,3,2),""),IFERROR(MID(ARRIVAL!F18,2,2),""))</f>
        <v>10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11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2</v>
      </c>
      <c r="P21" s="6" t="str">
        <f>IFERROR(RIGHT(ARRIVAL!G19,2),"")</f>
        <v>00</v>
      </c>
      <c r="Q21" s="30">
        <f t="shared" ref="Q21:Q23" si="7">IFERROR(S21*SIGN(O21),"")</f>
        <v>8.3333333333333329E-2</v>
      </c>
      <c r="R21" s="8">
        <f t="shared" ref="R21:R23" si="8">IFERROR(TIME(M21,N21,0),"")</f>
        <v>0.45833333333333331</v>
      </c>
      <c r="S21" s="8">
        <f t="shared" si="5"/>
        <v>8.3333333333333329E-2</v>
      </c>
      <c r="T21" s="9">
        <f>IFERROR(DATE(L21,K21,J21)+R21,"")</f>
        <v>45591.458333333336</v>
      </c>
      <c r="U21" s="31">
        <f t="shared" si="6"/>
        <v>45591.375</v>
      </c>
      <c r="V21" s="11">
        <f>IFERROR(((24*(U21-U20))),"")</f>
        <v>82.999999999883585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597.79999999999995</v>
      </c>
      <c r="AA21" s="27">
        <f>IFERROR(ARRIVAL!F26,"")</f>
        <v>146538</v>
      </c>
      <c r="AB21" s="27">
        <f>IF($U$21&lt;&gt;"",(X20+Y20)-(X21+Y21),"")</f>
        <v>0</v>
      </c>
      <c r="AC21" s="27">
        <f>IF($U$21&lt;&gt;"",Z20-Z21,"")</f>
        <v>5.8400000000000318</v>
      </c>
      <c r="AD21" s="27">
        <f>IF($U$21&lt;&gt;"",AA20-AA21,"")</f>
        <v>425.20000000001164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>26</v>
      </c>
      <c r="K22" s="6" t="str">
        <f>IF(LEN(ARRIVAL!J19)=8,IFERROR(MID(ARRIVAL!J19,3,2),""),IFERROR(MID(ARRIVAL!J19,2,2),""))</f>
        <v>10</v>
      </c>
      <c r="L22" s="7" t="str">
        <f>IFERROR(RIGHT(ARRIVAL!J19,4),"")</f>
        <v>2024</v>
      </c>
      <c r="M22" s="6" t="str">
        <f>IFERROR(IF(LEN(ARRIVAL!J20)=3,LEFT(ARRIVAL!J20,1),IF(LEN(ARRIVAL!J20)=4,LEFT(ARRIVAL!J20,2),"")),"")</f>
        <v>13</v>
      </c>
      <c r="N22" s="6" t="str">
        <f>IFERROR(RIGHT(ARRIVAL!J20,2),"")</f>
        <v>20</v>
      </c>
      <c r="O22" s="6" t="str">
        <f>IFERROR(IF(LEN(ARRIVAL!K20)=3,LEFT(ARRIVAL!K20,1),IF(LEN(ARRIVAL!K20)=4,LEFT(ARRIVAL!K20,2),"")),"")</f>
        <v>2</v>
      </c>
      <c r="P22" s="6" t="str">
        <f>IFERROR(RIGHT(ARRIVAL!K20,2),"")</f>
        <v>00</v>
      </c>
      <c r="Q22" s="30">
        <f t="shared" si="7"/>
        <v>8.3333333333333329E-2</v>
      </c>
      <c r="R22" s="8">
        <f t="shared" si="8"/>
        <v>0.55555555555555558</v>
      </c>
      <c r="S22" s="8">
        <f t="shared" si="5"/>
        <v>8.3333333333333329E-2</v>
      </c>
      <c r="T22" s="9">
        <f>IFERROR(DATE(L22,K22,J22)+R22,"")</f>
        <v>45591.555555555555</v>
      </c>
      <c r="U22" s="31">
        <f t="shared" si="6"/>
        <v>45591.472222222219</v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>26</v>
      </c>
      <c r="K23" s="6" t="str">
        <f>IF(LEN(ARRIVAL!J23)=8,IFERROR(MID(ARRIVAL!J23,3,2),""),IFERROR(MID(ARRIVAL!J23,2,2),""))</f>
        <v>10</v>
      </c>
      <c r="L23" s="7" t="str">
        <f>IFERROR(RIGHT(ARRIVAL!J23,4),"")</f>
        <v>2024</v>
      </c>
      <c r="M23" s="6" t="str">
        <f>IFERROR(IF(LEN(ARRIVAL!J24)=3,LEFT(ARRIVAL!J24,1),IF(LEN(ARRIVAL!J24)=4,LEFT(ARRIVAL!J24,2),"")),"")</f>
        <v>22</v>
      </c>
      <c r="N23" s="6" t="str">
        <f>IFERROR(RIGHT(ARRIVAL!J24,2),"")</f>
        <v>55</v>
      </c>
      <c r="O23" s="6" t="str">
        <f>IFERROR(IF(LEN(ARRIVAL!K24)=3,LEFT(ARRIVAL!K24,1),IF(LEN(ARRIVAL!K24)=4,LEFT(ARRIVAL!K24,2),"")),"")</f>
        <v>2</v>
      </c>
      <c r="P23" s="6" t="str">
        <f>IFERROR(RIGHT(ARRIVAL!K24,2),"")</f>
        <v>00</v>
      </c>
      <c r="Q23" s="30">
        <f t="shared" si="7"/>
        <v>8.3333333333333329E-2</v>
      </c>
      <c r="R23" s="8">
        <f t="shared" si="8"/>
        <v>0.95486111111111116</v>
      </c>
      <c r="S23" s="8">
        <f t="shared" si="5"/>
        <v>8.3333333333333329E-2</v>
      </c>
      <c r="T23" s="9">
        <f>IFERROR(DATE(L23,K23,J23)+R23,"")</f>
        <v>45591.954861111109</v>
      </c>
      <c r="U23" s="31">
        <f t="shared" si="6"/>
        <v>45591.871527777774</v>
      </c>
      <c r="V23" s="11">
        <f>IFERROR(((24*(U23-U22))),"")</f>
        <v>9.5833333333139308</v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2024-10-27T08:58:04Z</dcterms:modified>
</cp:coreProperties>
</file>