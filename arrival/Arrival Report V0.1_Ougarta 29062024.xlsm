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ARRIVAL REPORTS 2024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19200" windowHeight="10890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AD21" i="3" s="1"/>
  <c r="U20" i="3"/>
  <c r="U23" i="3"/>
  <c r="U22" i="3"/>
  <c r="V21" i="3" l="1"/>
  <c r="AB21" i="3"/>
  <c r="AC21" i="3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B29" i="1" l="1"/>
  <c r="F29" i="1" s="1"/>
  <c r="S7" i="3"/>
  <c r="Q7" i="3" s="1"/>
  <c r="S5" i="3"/>
  <c r="Q5" i="3" s="1"/>
  <c r="R5" i="3"/>
  <c r="S6" i="3" l="1"/>
  <c r="Q6" i="3" s="1"/>
  <c r="T5" i="3"/>
  <c r="U5" i="3" s="1"/>
  <c r="R6" i="3"/>
  <c r="T6" i="3" s="1"/>
  <c r="U6" i="3" s="1"/>
  <c r="R7" i="3"/>
  <c r="T7" i="3" s="1"/>
  <c r="U7" i="3" s="1"/>
  <c r="S3" i="3"/>
  <c r="Q3" i="3" s="1"/>
  <c r="R3" i="3"/>
  <c r="S2" i="3" l="1"/>
  <c r="Q2" i="3" s="1"/>
  <c r="S4" i="3"/>
  <c r="Q4" i="3" s="1"/>
  <c r="R2" i="3"/>
  <c r="T2" i="3" s="1"/>
  <c r="U2" i="3" s="1"/>
  <c r="R4" i="3"/>
  <c r="T4" i="3" s="1"/>
  <c r="U4" i="3" s="1"/>
  <c r="T3" i="3"/>
  <c r="U3" i="3" s="1"/>
  <c r="V6" i="3"/>
  <c r="J30" i="1" l="1"/>
  <c r="F30" i="1"/>
  <c r="B30" i="1"/>
  <c r="AD3" i="3"/>
  <c r="AC3" i="3"/>
  <c r="AB3" i="3"/>
  <c r="AD4" i="3"/>
  <c r="J30" i="3" s="1"/>
  <c r="AB4" i="3"/>
  <c r="AC4" i="3"/>
  <c r="V4" i="3"/>
  <c r="J29" i="1" s="1"/>
  <c r="V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<sst xmlns="http://schemas.openxmlformats.org/spreadsheetml/2006/main" count="212" uniqueCount="157">
  <si>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</si>
  <si>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</si>
  <si>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</si>
  <si>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</si>
  <si>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</si>
  <si>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</si>
  <si>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</si>
  <si>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</si>
  <si>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</si>
  <si>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</si>
  <si>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</si>
  <si>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</si>
  <si>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</si>
  <si>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</si>
  <si>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</si>
  <si>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</si>
  <si>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</si>
  <si>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</si>
  <si>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</si>
  <si>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</si>
  <si>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</si>
  <si>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</si>
  <si>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</si>
  <si>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</si>
  <si>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</si>
  <si>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</si>
  <si>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</si>
  <si>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</si>
  <si>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</si>
  <si>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</si>
  <si>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</si>
  <si>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</si>
  <si>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</si>
  <si>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</si>
  <si>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</si>
  <si>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</si>
  <si>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</si>
  <si>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</si>
  <si>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</si>
  <si>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</si>
  <si>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</si>
  <si>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</si>
  <si>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</si>
  <si>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</si>
  <si>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</si>
  <si>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</si>
  <si>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</si>
  <si>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</si>
  <si>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</si>
  <si>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</si>
  <si>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</si>
  <si>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</si>
  <si>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</si>
  <si>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</si>
  <si>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</si>
  <si>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</si>
  <si>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</si>
  <si>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</si>
  <si>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</si>
  <si>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</si>
  <si>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</si>
  <si>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</si>
  <si>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</si>
  <si>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</si>
  <si>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</si>
  <si>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</si>
  <si>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</si>
  <si>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</si>
  <si>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</si>
  <si>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</si>
  <si>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</si>
  <si>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</si>
  <si>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</si>
  <si>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</si>
  <si>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</si>
  <si>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</si>
  <si>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</si>
  <si>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</si>
  <si>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</si>
  <si>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</si>
  <si>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</si>
  <si>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</si>
  <si>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</si>
  <si>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</si>
  <si>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</si>
  <si>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</si>
  <si>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</si>
  <si>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</si>
  <si>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</si>
  <si>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</si>
  <si>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</si>
  <si>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</si>
  <si>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</si>
  <si>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</si>
  <si>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</si>
  <si>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</si>
  <si>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</si>
  <si>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</si>
  <si>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</si>
  <si>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</si>
  <si>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</si>
  <si>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</si>
  <si>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</si>
  <si>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</si>
  <si>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</si>
  <si>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</si>
  <si>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</si>
  <si>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</si>
  <si>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</si>
  <si>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</si>
  <si>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</si>
  <si>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</si>
  <si>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</si>
  <si>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</si>
  <si>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</si>
  <si>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</si>
  <si>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</si>
  <si>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</si>
  <si>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</si>
  <si>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</si>
  <si>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</si>
  <si>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</si>
  <si>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</si>
  <si>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</si>
  <si>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</si>
  <si>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</si>
  <si>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</si>
  <si>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</si>
  <si>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</si>
  <si>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</si>
  <si>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</si>
  <si>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</si>
  <si>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</si>
  <si>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</si>
  <si>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</si>
  <si>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</si>
  <si>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</si>
  <si>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</si>
  <si>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</si>
  <si>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</si>
  <si>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</si>
  <si>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</si>
  <si>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</si>
  <si>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</si>
  <si>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</si>
  <si>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</si>
  <si>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</si>
  <si>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</si>
  <si>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</si>
  <si>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</si>
  <si>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</si>
  <si>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</si>
  <si>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A.BEKAKCHA</t>
  </si>
  <si>
    <t>025/24</t>
  </si>
  <si>
    <t>TRALI</t>
  </si>
  <si>
    <t xml:space="preserve"> </t>
  </si>
  <si>
    <t>NE/4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</si>
</sst>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5" fontId="3" fillId="6" borderId="1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zoomScale="130" zoomScaleNormal="130" zoomScaleSheetLayoutView="130" workbookViewId="0">
      <selection activeCell="B5" sqref="B5:C5"/>
    </sheetView>
  </sheetViews>
  <sheetFormatPr baseColWidth="10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74"/>
      <c r="B1" s="74"/>
      <c r="C1" s="74"/>
      <c r="D1" s="74"/>
      <c r="E1" s="74"/>
      <c r="F1" s="74"/>
      <c r="G1" s="74"/>
      <c r="H1" s="74"/>
      <c r="I1" s="74"/>
      <c r="J1" s="74"/>
      <c r="K1" s="74"/>
    </row>
    <row r="2" spans="1:11" ht="20.100000000000001" customHeight="1" x14ac:dyDescent="0.25">
      <c r="A2" s="75" t="s">
        <v>1</v>
      </c>
      <c r="B2" s="75"/>
      <c r="C2" s="75"/>
      <c r="E2" s="15" t="s">
        <v>34</v>
      </c>
      <c r="F2" s="76" t="s">
        <v>12</v>
      </c>
      <c r="G2" s="76"/>
      <c r="I2" s="16" t="s">
        <v>53</v>
      </c>
      <c r="J2" s="64" t="s">
        <v>152</v>
      </c>
      <c r="K2" s="64"/>
    </row>
    <row r="3" spans="1:11" ht="8.1" customHeight="1" x14ac:dyDescent="0.25">
      <c r="A3" s="74"/>
      <c r="B3" s="74"/>
      <c r="C3" s="74"/>
      <c r="D3" s="74"/>
      <c r="E3" s="74"/>
      <c r="F3" s="74"/>
      <c r="G3" s="74"/>
      <c r="H3" s="74"/>
      <c r="I3" s="74"/>
      <c r="J3" s="74"/>
      <c r="K3" s="74"/>
    </row>
    <row r="4" spans="1:11" ht="15" customHeight="1" x14ac:dyDescent="0.25">
      <c r="A4" s="43" t="s">
        <v>93</v>
      </c>
      <c r="B4" s="43"/>
      <c r="C4" s="43"/>
      <c r="E4" s="71" t="s">
        <v>136</v>
      </c>
      <c r="F4" s="72"/>
      <c r="G4" s="73"/>
      <c r="I4" s="43" t="s">
        <v>68</v>
      </c>
      <c r="J4" s="43"/>
      <c r="K4" s="43"/>
    </row>
    <row r="5" spans="1:11" ht="15" customHeight="1" x14ac:dyDescent="0.25">
      <c r="A5" s="2" t="s">
        <v>79</v>
      </c>
      <c r="B5" s="64" t="s">
        <v>108</v>
      </c>
      <c r="C5" s="64"/>
      <c r="E5" s="2" t="s">
        <v>40</v>
      </c>
      <c r="F5" s="65" t="s">
        <v>156</v>
      </c>
      <c r="G5" s="66"/>
      <c r="I5" s="2" t="s">
        <v>23</v>
      </c>
      <c r="J5" s="54">
        <v>1107</v>
      </c>
      <c r="K5" s="54"/>
    </row>
    <row r="6" spans="1:11" ht="15" customHeight="1" x14ac:dyDescent="0.25">
      <c r="A6" s="2" t="s">
        <v>78</v>
      </c>
      <c r="B6" s="64" t="s">
        <v>153</v>
      </c>
      <c r="C6" s="64"/>
      <c r="E6" s="2" t="s">
        <v>29</v>
      </c>
      <c r="F6" s="67">
        <v>3</v>
      </c>
      <c r="G6" s="68"/>
      <c r="I6" s="2" t="s">
        <v>24</v>
      </c>
      <c r="J6" s="54">
        <v>0</v>
      </c>
      <c r="K6" s="54"/>
    </row>
    <row r="7" spans="1:11" ht="15" customHeight="1" x14ac:dyDescent="0.25">
      <c r="A7" s="2" t="s">
        <v>77</v>
      </c>
      <c r="B7" s="64" t="s">
        <v>154</v>
      </c>
      <c r="C7" s="64"/>
      <c r="E7" s="2" t="s">
        <v>36</v>
      </c>
      <c r="F7" s="69">
        <v>8</v>
      </c>
      <c r="G7" s="70"/>
      <c r="I7" s="2" t="s">
        <v>17</v>
      </c>
      <c r="J7" s="54">
        <v>434.33</v>
      </c>
      <c r="K7" s="54"/>
    </row>
    <row r="8" spans="1:11" ht="15" customHeight="1" x14ac:dyDescent="0.25">
      <c r="A8" s="2" t="s">
        <v>87</v>
      </c>
      <c r="B8" s="64" t="s">
        <v>90</v>
      </c>
      <c r="C8" s="64"/>
      <c r="E8" s="43" t="s">
        <v>69</v>
      </c>
      <c r="F8" s="43"/>
      <c r="G8" s="43"/>
      <c r="I8" s="2" t="s">
        <v>25</v>
      </c>
      <c r="J8" s="53">
        <v>135051.79999999999</v>
      </c>
      <c r="K8" s="53"/>
    </row>
    <row r="9" spans="1:11" ht="15" customHeight="1" x14ac:dyDescent="0.25">
      <c r="A9" s="2" t="s">
        <v>66</v>
      </c>
      <c r="B9" s="59">
        <v>29062024</v>
      </c>
      <c r="C9" s="59"/>
      <c r="E9" s="2" t="s">
        <v>70</v>
      </c>
      <c r="F9" s="55"/>
      <c r="G9" s="55"/>
      <c r="I9" s="2" t="s">
        <v>39</v>
      </c>
      <c r="J9" s="60">
        <v>53898</v>
      </c>
      <c r="K9" s="60"/>
    </row>
    <row r="10" spans="1:11" ht="15" customHeight="1" x14ac:dyDescent="0.25">
      <c r="A10" s="2" t="s">
        <v>67</v>
      </c>
      <c r="B10" s="12">
        <v>830</v>
      </c>
      <c r="C10" s="13">
        <v>300</v>
      </c>
      <c r="E10" s="2" t="s">
        <v>72</v>
      </c>
      <c r="F10" s="55">
        <v>3996286</v>
      </c>
      <c r="G10" s="55"/>
      <c r="I10" s="43" t="s">
        <v>56</v>
      </c>
      <c r="J10" s="43"/>
      <c r="K10" s="43"/>
    </row>
    <row r="11" spans="1:11" ht="15" customHeight="1" x14ac:dyDescent="0.25">
      <c r="A11" s="2" t="s">
        <v>20</v>
      </c>
      <c r="B11" s="61">
        <v>2160</v>
      </c>
      <c r="C11" s="61"/>
      <c r="E11" s="2" t="s">
        <v>73</v>
      </c>
      <c r="F11" s="55">
        <v>5195493</v>
      </c>
      <c r="G11" s="55"/>
      <c r="I11" s="2" t="s">
        <v>37</v>
      </c>
      <c r="J11" s="55">
        <v>113873384</v>
      </c>
      <c r="K11" s="55"/>
    </row>
    <row r="12" spans="1:11" ht="15" customHeight="1" x14ac:dyDescent="0.25">
      <c r="A12" s="2" t="s">
        <v>38</v>
      </c>
      <c r="B12" s="61" t="s">
        <v>155</v>
      </c>
      <c r="C12" s="61"/>
      <c r="E12" s="2" t="s">
        <v>74</v>
      </c>
      <c r="F12" s="55">
        <v>4439936</v>
      </c>
      <c r="G12" s="55"/>
      <c r="I12" s="2" t="s">
        <v>35</v>
      </c>
      <c r="J12" s="55">
        <v>113690279</v>
      </c>
      <c r="K12" s="55"/>
    </row>
    <row r="13" spans="1:11" ht="15" customHeight="1" x14ac:dyDescent="0.25">
      <c r="E13" s="2" t="s">
        <v>75</v>
      </c>
      <c r="F13" s="55">
        <v>4633087</v>
      </c>
      <c r="G13" s="55"/>
      <c r="I13" s="43" t="s">
        <v>96</v>
      </c>
      <c r="J13" s="43"/>
      <c r="K13" s="43"/>
    </row>
    <row r="14" spans="1:11" ht="15" customHeight="1" x14ac:dyDescent="0.25">
      <c r="E14" s="2" t="s">
        <v>71</v>
      </c>
      <c r="F14" s="55">
        <v>8216638</v>
      </c>
      <c r="G14" s="55"/>
      <c r="I14" s="2" t="s">
        <v>91</v>
      </c>
      <c r="J14" s="61">
        <v>5</v>
      </c>
      <c r="K14" s="61"/>
    </row>
    <row r="15" spans="1:11" ht="15" customHeight="1" x14ac:dyDescent="0.25">
      <c r="E15" s="2" t="s">
        <v>76</v>
      </c>
      <c r="F15" s="55">
        <v>1205439</v>
      </c>
      <c r="G15" s="55"/>
      <c r="I15" s="2" t="s">
        <v>92</v>
      </c>
      <c r="J15" s="62">
        <v>4.8</v>
      </c>
      <c r="K15" s="63"/>
    </row>
    <row r="16" spans="1:11" ht="8.1" customHeight="1" x14ac:dyDescent="0.25">
      <c r="D16" s="17"/>
      <c r="H16" s="17"/>
      <c r="I16" s="17"/>
      <c r="J16" s="17"/>
      <c r="K16" s="17"/>
    </row>
    <row r="17" spans="1:11" ht="15" customHeight="1" x14ac:dyDescent="0.25">
      <c r="A17" s="43" t="s">
        <v>94</v>
      </c>
      <c r="B17" s="43"/>
      <c r="C17" s="43"/>
      <c r="E17" s="43" t="s">
        <v>95</v>
      </c>
      <c r="F17" s="43"/>
      <c r="G17" s="43"/>
      <c r="I17" s="43" t="s">
        <v>54</v>
      </c>
      <c r="J17" s="43"/>
      <c r="K17" s="43"/>
    </row>
    <row r="18" spans="1:11" ht="15" customHeight="1" x14ac:dyDescent="0.25">
      <c r="A18" s="2" t="s">
        <v>16</v>
      </c>
      <c r="B18" s="57">
        <v>21062024</v>
      </c>
      <c r="C18" s="57"/>
      <c r="E18" s="2" t="s">
        <v>28</v>
      </c>
      <c r="F18" s="56">
        <v>29062024</v>
      </c>
      <c r="G18" s="56"/>
      <c r="I18" s="2" t="s">
        <v>0</v>
      </c>
      <c r="J18" s="58"/>
      <c r="K18" s="58"/>
    </row>
    <row r="19" spans="1:11" ht="15" customHeight="1" x14ac:dyDescent="0.25">
      <c r="A19" s="2" t="s">
        <v>41</v>
      </c>
      <c r="B19" s="34">
        <v>1700</v>
      </c>
      <c r="C19" s="35">
        <v>100</v>
      </c>
      <c r="E19" s="2" t="s">
        <v>41</v>
      </c>
      <c r="F19" s="32">
        <v>400</v>
      </c>
      <c r="G19" s="33">
        <v>300</v>
      </c>
      <c r="I19" s="2" t="s">
        <v>30</v>
      </c>
      <c r="J19" s="44"/>
      <c r="K19" s="44"/>
    </row>
    <row r="20" spans="1:11" ht="15" customHeight="1" x14ac:dyDescent="0.25">
      <c r="A20" s="2" t="s">
        <v>22</v>
      </c>
      <c r="B20" s="39">
        <v>13</v>
      </c>
      <c r="C20" s="39"/>
      <c r="D20" s="3"/>
      <c r="E20" s="2" t="s">
        <v>21</v>
      </c>
      <c r="F20" s="36">
        <v>2146</v>
      </c>
      <c r="G20" s="36"/>
      <c r="H20" s="3"/>
      <c r="I20" s="2" t="s">
        <v>41</v>
      </c>
      <c r="J20" s="14"/>
      <c r="K20" s="19"/>
    </row>
    <row r="21" spans="1:11" ht="15" customHeight="1" x14ac:dyDescent="0.25">
      <c r="A21" s="2" t="s">
        <v>135</v>
      </c>
      <c r="B21" s="39">
        <v>229950</v>
      </c>
      <c r="C21" s="39"/>
      <c r="D21" s="3"/>
      <c r="E21" s="2" t="s">
        <v>134</v>
      </c>
      <c r="F21" s="36">
        <v>232056</v>
      </c>
      <c r="G21" s="36"/>
      <c r="H21" s="3"/>
      <c r="I21" s="2" t="s">
        <v>31</v>
      </c>
      <c r="J21" s="42"/>
      <c r="K21" s="42"/>
    </row>
    <row r="22" spans="1:11" ht="15" customHeight="1" x14ac:dyDescent="0.25">
      <c r="A22" s="43" t="s">
        <v>26</v>
      </c>
      <c r="B22" s="43"/>
      <c r="C22" s="43"/>
      <c r="D22" s="3"/>
      <c r="E22" s="43" t="s">
        <v>27</v>
      </c>
      <c r="F22" s="43"/>
      <c r="G22" s="43"/>
      <c r="H22" s="3"/>
      <c r="I22" s="43" t="s">
        <v>55</v>
      </c>
      <c r="J22" s="43"/>
      <c r="K22" s="43"/>
    </row>
    <row r="23" spans="1:11" ht="15" customHeight="1" x14ac:dyDescent="0.25">
      <c r="A23" s="2" t="s">
        <v>23</v>
      </c>
      <c r="B23" s="41">
        <v>1107</v>
      </c>
      <c r="C23" s="41"/>
      <c r="D23" s="3"/>
      <c r="E23" s="2" t="s">
        <v>23</v>
      </c>
      <c r="F23" s="38">
        <v>1107</v>
      </c>
      <c r="G23" s="38"/>
      <c r="H23" s="3"/>
      <c r="I23" s="2" t="s">
        <v>33</v>
      </c>
      <c r="J23" s="44"/>
      <c r="K23" s="44"/>
    </row>
    <row r="24" spans="1:11" ht="15" customHeight="1" x14ac:dyDescent="0.25">
      <c r="A24" s="2" t="s">
        <v>24</v>
      </c>
      <c r="B24" s="41">
        <v>0</v>
      </c>
      <c r="C24" s="41"/>
      <c r="D24" s="3"/>
      <c r="E24" s="2" t="s">
        <v>24</v>
      </c>
      <c r="F24" s="38">
        <v>0</v>
      </c>
      <c r="G24" s="38"/>
      <c r="H24" s="3"/>
      <c r="I24" s="2" t="s">
        <v>41</v>
      </c>
      <c r="J24" s="14"/>
      <c r="K24" s="19"/>
    </row>
    <row r="25" spans="1:11" ht="15" customHeight="1" x14ac:dyDescent="0.25">
      <c r="A25" s="2" t="s">
        <v>17</v>
      </c>
      <c r="B25" s="41">
        <v>445.7</v>
      </c>
      <c r="C25" s="41"/>
      <c r="D25" s="3"/>
      <c r="E25" s="2" t="s">
        <v>17</v>
      </c>
      <c r="F25" s="38">
        <v>434.83</v>
      </c>
      <c r="G25" s="38"/>
      <c r="H25" s="3"/>
      <c r="I25" s="2" t="s">
        <v>32</v>
      </c>
      <c r="J25" s="42"/>
      <c r="K25" s="42"/>
    </row>
    <row r="26" spans="1:11" ht="15" customHeight="1" x14ac:dyDescent="0.25">
      <c r="A26" s="2" t="s">
        <v>25</v>
      </c>
      <c r="B26" s="40">
        <v>136167</v>
      </c>
      <c r="C26" s="40"/>
      <c r="D26" s="3"/>
      <c r="E26" s="2" t="s">
        <v>25</v>
      </c>
      <c r="F26" s="37">
        <v>135169.5</v>
      </c>
      <c r="G26" s="37"/>
      <c r="H26" s="3"/>
      <c r="I26" s="20"/>
      <c r="J26" s="20"/>
      <c r="K26" s="20"/>
    </row>
    <row r="27" spans="1:11" ht="8.1" customHeight="1" x14ac:dyDescent="0.25">
      <c r="A27" s="20"/>
      <c r="B27" s="20"/>
      <c r="C27" s="20"/>
      <c r="D27" s="20"/>
      <c r="E27" s="20"/>
      <c r="F27" s="20"/>
      <c r="G27" s="20"/>
      <c r="H27" s="3"/>
      <c r="I27" s="20"/>
      <c r="J27" s="20"/>
      <c r="K27" s="20"/>
    </row>
    <row r="28" spans="1:11" ht="20.100000000000001" customHeight="1" x14ac:dyDescent="0.25">
      <c r="A28" s="50" t="s">
        <v>107</v>
      </c>
      <c r="B28" s="51"/>
      <c r="C28" s="51"/>
      <c r="D28" s="51"/>
      <c r="E28" s="51"/>
      <c r="F28" s="51"/>
      <c r="G28" s="51"/>
      <c r="H28" s="51"/>
      <c r="I28" s="51"/>
      <c r="J28" s="51"/>
      <c r="K28" s="52"/>
    </row>
    <row r="29" spans="1:11" ht="15" customHeight="1" x14ac:dyDescent="0.25">
      <c r="A29" s="18" t="s">
        <v>42</v>
      </c>
      <c r="B29" s="47">
        <f>IF(F20="","",F20-B20)</f>
        <v>2133</v>
      </c>
      <c r="C29" s="47"/>
      <c r="E29" s="18" t="s">
        <v>146</v>
      </c>
      <c r="F29" s="48">
        <f>IF(B29="","",DATA!V21)</f>
        <v>176.99999999982538</v>
      </c>
      <c r="G29" s="48"/>
      <c r="H29" s="29"/>
      <c r="I29" s="18" t="s">
        <v>43</v>
      </c>
      <c r="J29" s="49">
        <f>IFERROR(ROUND(B29/F29,1),"")</f>
        <v>12.1</v>
      </c>
      <c r="K29" s="49"/>
    </row>
    <row r="30" spans="1:11" s="22" customFormat="1" ht="15" customHeight="1" x14ac:dyDescent="0.25">
      <c r="A30" s="28" t="s">
        <v>140</v>
      </c>
      <c r="B30" s="45">
        <f>IF(DATA!AB20&lt;&gt;"",DATA!AB20,DATA!AB21)</f>
        <v>0</v>
      </c>
      <c r="C30" s="45"/>
      <c r="E30" s="28" t="s">
        <v>141</v>
      </c>
      <c r="F30" s="45">
        <f>IF(DATA!AC20&lt;&gt;"",DATA!AC20,DATA!AC21)</f>
        <v>10.870000000000005</v>
      </c>
      <c r="G30" s="45"/>
      <c r="I30" s="28" t="s">
        <v>142</v>
      </c>
      <c r="J30" s="46">
        <f>IF(DATA!AD20&lt;&gt;"",DATA!AD20,DATA!AD21)</f>
        <v>997.5</v>
      </c>
      <c r="K30" s="46"/>
    </row>
    <row r="31" spans="1:11" s="22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A1:K1"/>
    <mergeCell ref="A2:C2"/>
    <mergeCell ref="F2:G2"/>
    <mergeCell ref="J2:K2"/>
    <mergeCell ref="A3:K3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J18:K18"/>
    <mergeCell ref="J19:K19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12:C12"/>
    <mergeCell ref="A17:C17"/>
    <mergeCell ref="E17:G17"/>
    <mergeCell ref="F13:G13"/>
    <mergeCell ref="F18:G18"/>
    <mergeCell ref="B18:C18"/>
    <mergeCell ref="J8:K8"/>
    <mergeCell ref="I4:K4"/>
    <mergeCell ref="J5:K5"/>
    <mergeCell ref="J6:K6"/>
    <mergeCell ref="J7:K7"/>
    <mergeCell ref="J21:K21"/>
    <mergeCell ref="I22:K22"/>
    <mergeCell ref="J23:K23"/>
    <mergeCell ref="B30:C30"/>
    <mergeCell ref="F30:G30"/>
    <mergeCell ref="J30:K30"/>
    <mergeCell ref="A22:C22"/>
    <mergeCell ref="E22:G22"/>
    <mergeCell ref="J25:K25"/>
    <mergeCell ref="B29:C29"/>
    <mergeCell ref="F29:G29"/>
    <mergeCell ref="J29:K29"/>
    <mergeCell ref="A28:K28"/>
    <mergeCell ref="B20:C20"/>
    <mergeCell ref="B21:C21"/>
    <mergeCell ref="B26:C26"/>
    <mergeCell ref="B25:C25"/>
    <mergeCell ref="B24:C24"/>
    <mergeCell ref="B23:C23"/>
    <mergeCell ref="F20:G20"/>
    <mergeCell ref="F21:G21"/>
    <mergeCell ref="F26:G26"/>
    <mergeCell ref="F25:G25"/>
    <mergeCell ref="F24:G24"/>
    <mergeCell ref="F23:G23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4">
        <v>101</v>
      </c>
      <c r="B1" s="24" t="s">
        <v>2</v>
      </c>
      <c r="C1" s="24" t="s">
        <v>110</v>
      </c>
      <c r="D1" s="25">
        <v>7.9180000000000001</v>
      </c>
      <c r="E1" s="26">
        <v>80920</v>
      </c>
      <c r="F1" s="10" t="s">
        <v>18</v>
      </c>
      <c r="I1" s="21" t="s">
        <v>147</v>
      </c>
      <c r="J1" s="21" t="s">
        <v>47</v>
      </c>
      <c r="K1" s="21" t="s">
        <v>48</v>
      </c>
      <c r="L1" s="21" t="s">
        <v>49</v>
      </c>
      <c r="M1" s="21" t="s">
        <v>50</v>
      </c>
      <c r="N1" s="21" t="s">
        <v>48</v>
      </c>
      <c r="O1" s="77" t="s">
        <v>51</v>
      </c>
      <c r="P1" s="77"/>
      <c r="Q1" s="77"/>
      <c r="R1" s="21" t="s">
        <v>149</v>
      </c>
      <c r="S1" s="23" t="s">
        <v>151</v>
      </c>
      <c r="T1" s="4" t="s">
        <v>150</v>
      </c>
      <c r="U1" s="21" t="s">
        <v>52</v>
      </c>
      <c r="V1" s="77" t="s">
        <v>58</v>
      </c>
      <c r="W1" s="77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4">
        <v>201</v>
      </c>
      <c r="B2" s="24" t="s">
        <v>3</v>
      </c>
      <c r="C2" s="24" t="s">
        <v>110</v>
      </c>
      <c r="D2" s="25"/>
      <c r="E2" s="26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0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1" t="str">
        <f>IFERROR(T2-Q2,"")</f>
        <v/>
      </c>
      <c r="W2" s="5"/>
      <c r="X2" s="27" t="str">
        <f>IFERROR(#REF!,"")</f>
        <v/>
      </c>
      <c r="Y2" s="27" t="str">
        <f>IFERROR(#REF!,"")</f>
        <v/>
      </c>
      <c r="Z2" s="27" t="str">
        <f>IFERROR(#REF!,"")</f>
        <v/>
      </c>
      <c r="AA2" s="27" t="str">
        <f>IFERROR(#REF!,"")</f>
        <v/>
      </c>
      <c r="AB2" s="27"/>
      <c r="AC2" s="27"/>
      <c r="AD2" s="27"/>
    </row>
    <row r="3" spans="1:30" x14ac:dyDescent="0.25">
      <c r="A3" s="24">
        <v>202</v>
      </c>
      <c r="B3" s="24" t="s">
        <v>5</v>
      </c>
      <c r="C3" s="24" t="s">
        <v>110</v>
      </c>
      <c r="D3" s="25"/>
      <c r="E3" s="26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0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1" t="str">
        <f t="shared" ref="U3:U7" si="3">IFERROR(T3-Q3,"")</f>
        <v/>
      </c>
      <c r="V3" s="11" t="str">
        <f>IFERROR(((24*(U2-U3))),"")</f>
        <v/>
      </c>
      <c r="W3" s="5" t="s">
        <v>59</v>
      </c>
      <c r="X3" s="27" t="str">
        <f>IFERROR(#REF!,"")</f>
        <v/>
      </c>
      <c r="Y3" s="27" t="str">
        <f>IFERROR(#REF!,"")</f>
        <v/>
      </c>
      <c r="Z3" s="27" t="str">
        <f>IFERROR(#REF!,"")</f>
        <v/>
      </c>
      <c r="AA3" s="27" t="str">
        <f>IFERROR(#REF!,"")</f>
        <v/>
      </c>
      <c r="AB3" s="27" t="str">
        <f>IF($U$3="","",IF($U$4="",(X3+Y3)-(X2+Y2),""))</f>
        <v/>
      </c>
      <c r="AC3" s="27" t="str">
        <f>IF($U$3="","",IF($U$4="",Z3-Z2,""))</f>
        <v/>
      </c>
      <c r="AD3" s="27" t="str">
        <f>IF($U$3="","",IF($U$4="",AA3-AA2,""))</f>
        <v/>
      </c>
    </row>
    <row r="4" spans="1:30" x14ac:dyDescent="0.25">
      <c r="A4" s="24">
        <v>301</v>
      </c>
      <c r="B4" s="24" t="s">
        <v>4</v>
      </c>
      <c r="C4" s="24" t="s">
        <v>111</v>
      </c>
      <c r="D4" s="25">
        <v>4.9000000000000004</v>
      </c>
      <c r="E4" s="26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0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1" t="str">
        <f t="shared" si="3"/>
        <v/>
      </c>
      <c r="V4" s="11" t="str">
        <f>IFERROR(((24*(U4-U3))),"")</f>
        <v/>
      </c>
      <c r="W4" s="5" t="s">
        <v>60</v>
      </c>
      <c r="X4" s="27" t="str">
        <f>IFERROR(#REF!,"")</f>
        <v/>
      </c>
      <c r="Y4" s="27" t="str">
        <f>IFERROR(#REF!,"")</f>
        <v/>
      </c>
      <c r="Z4" s="27" t="str">
        <f>IFERROR(#REF!,"")</f>
        <v/>
      </c>
      <c r="AA4" s="27" t="str">
        <f>IFERROR(#REF!,"")</f>
        <v/>
      </c>
      <c r="AB4" s="27" t="str">
        <f>IF($U$4&lt;&gt;"",(X3+Y3)-(X4+Y4),"")</f>
        <v/>
      </c>
      <c r="AC4" s="27" t="str">
        <f>IF($U$4&lt;&gt;"",Z3-Z4,"")</f>
        <v/>
      </c>
      <c r="AD4" s="27" t="str">
        <f>IF($U$4&lt;&gt;"",AA3-AA4,"")</f>
        <v/>
      </c>
    </row>
    <row r="5" spans="1:30" x14ac:dyDescent="0.25">
      <c r="A5" s="24">
        <v>302</v>
      </c>
      <c r="B5" s="24" t="s">
        <v>6</v>
      </c>
      <c r="C5" s="24" t="s">
        <v>111</v>
      </c>
      <c r="D5" s="25">
        <v>4.9000000000000004</v>
      </c>
      <c r="E5" s="26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0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1" t="str">
        <f t="shared" si="3"/>
        <v/>
      </c>
      <c r="V5" s="11"/>
      <c r="W5" s="5"/>
      <c r="X5" s="27"/>
      <c r="Y5" s="27"/>
      <c r="Z5" s="27"/>
      <c r="AA5" s="27"/>
    </row>
    <row r="6" spans="1:30" x14ac:dyDescent="0.25">
      <c r="A6" s="10">
        <v>303</v>
      </c>
      <c r="B6" s="10" t="s">
        <v>15</v>
      </c>
      <c r="C6" s="10" t="s">
        <v>112</v>
      </c>
      <c r="D6" s="25">
        <v>4.6425599999999996</v>
      </c>
      <c r="E6" s="26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0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1" t="str">
        <f t="shared" si="3"/>
        <v/>
      </c>
      <c r="V6" s="11" t="str">
        <f>IFERROR(((24*(U6-U5))),"")</f>
        <v/>
      </c>
      <c r="W6" s="5" t="s">
        <v>63</v>
      </c>
      <c r="X6" s="27"/>
      <c r="Y6" s="27"/>
      <c r="Z6" s="27"/>
      <c r="AA6" s="27"/>
    </row>
    <row r="7" spans="1:30" x14ac:dyDescent="0.25">
      <c r="A7" s="24">
        <v>401</v>
      </c>
      <c r="B7" s="24" t="s">
        <v>7</v>
      </c>
      <c r="C7" s="24" t="s">
        <v>112</v>
      </c>
      <c r="D7" s="25"/>
      <c r="E7" s="26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0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1" t="str">
        <f t="shared" si="3"/>
        <v/>
      </c>
      <c r="V7" s="11"/>
      <c r="W7" s="5"/>
      <c r="X7" s="27"/>
      <c r="Y7" s="27"/>
      <c r="Z7" s="27"/>
      <c r="AA7" s="27"/>
    </row>
    <row r="8" spans="1:30" x14ac:dyDescent="0.25">
      <c r="A8" s="24">
        <v>402</v>
      </c>
      <c r="B8" s="24" t="s">
        <v>8</v>
      </c>
      <c r="C8" s="24" t="s">
        <v>112</v>
      </c>
      <c r="D8" s="25"/>
      <c r="E8" s="26">
        <v>4999</v>
      </c>
    </row>
    <row r="9" spans="1:30" x14ac:dyDescent="0.25">
      <c r="A9" s="24">
        <v>453</v>
      </c>
      <c r="B9" s="24" t="s">
        <v>11</v>
      </c>
      <c r="C9" s="24" t="s">
        <v>110</v>
      </c>
      <c r="D9" s="25">
        <v>8.8188800000000001</v>
      </c>
      <c r="E9" s="26">
        <v>94575</v>
      </c>
    </row>
    <row r="10" spans="1:30" x14ac:dyDescent="0.25">
      <c r="A10" s="24">
        <v>454</v>
      </c>
      <c r="B10" s="24" t="s">
        <v>12</v>
      </c>
      <c r="C10" s="24" t="s">
        <v>110</v>
      </c>
      <c r="D10" s="25">
        <v>8.8188800000000001</v>
      </c>
      <c r="E10" s="26">
        <v>94575</v>
      </c>
      <c r="F10" s="10" t="s">
        <v>81</v>
      </c>
    </row>
    <row r="11" spans="1:30" x14ac:dyDescent="0.25">
      <c r="A11" s="24">
        <v>503</v>
      </c>
      <c r="B11" s="24" t="s">
        <v>13</v>
      </c>
      <c r="C11" s="24" t="s">
        <v>111</v>
      </c>
      <c r="D11" s="25">
        <v>3.7370000000000001</v>
      </c>
      <c r="E11" s="26">
        <v>9612</v>
      </c>
      <c r="F11" s="10" t="s">
        <v>109</v>
      </c>
    </row>
    <row r="12" spans="1:30" x14ac:dyDescent="0.25">
      <c r="A12" s="24">
        <v>504</v>
      </c>
      <c r="B12" s="24" t="s">
        <v>14</v>
      </c>
      <c r="C12" s="24" t="s">
        <v>111</v>
      </c>
      <c r="D12" s="25">
        <v>3.7370000000000001</v>
      </c>
      <c r="E12" s="26">
        <v>9670</v>
      </c>
      <c r="F12" s="10" t="s">
        <v>108</v>
      </c>
    </row>
    <row r="13" spans="1:30" x14ac:dyDescent="0.25">
      <c r="A13" s="24">
        <v>801</v>
      </c>
      <c r="B13" s="24" t="s">
        <v>9</v>
      </c>
      <c r="C13" s="24" t="s">
        <v>111</v>
      </c>
      <c r="D13" s="25">
        <v>4.4650800000000004</v>
      </c>
      <c r="E13" s="26">
        <v>26353</v>
      </c>
      <c r="F13" s="10" t="s">
        <v>83</v>
      </c>
    </row>
    <row r="14" spans="1:30" x14ac:dyDescent="0.25">
      <c r="A14" s="24">
        <v>802</v>
      </c>
      <c r="B14" s="24" t="s">
        <v>10</v>
      </c>
      <c r="C14" s="24" t="s">
        <v>111</v>
      </c>
      <c r="D14" s="25">
        <v>4.4650800000000004</v>
      </c>
      <c r="E14" s="26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3"/>
      <c r="J17" s="23"/>
      <c r="K17" s="23"/>
      <c r="L17" s="23"/>
      <c r="M17" s="23"/>
      <c r="N17" s="23"/>
      <c r="O17" s="77"/>
      <c r="P17" s="77"/>
      <c r="Q17" s="23"/>
      <c r="R17" s="4"/>
      <c r="S17" s="23"/>
      <c r="T17" s="77"/>
      <c r="U17" s="77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3" t="s">
        <v>148</v>
      </c>
      <c r="J18" s="23" t="s">
        <v>47</v>
      </c>
      <c r="K18" s="23" t="s">
        <v>48</v>
      </c>
      <c r="L18" s="23" t="s">
        <v>49</v>
      </c>
      <c r="M18" s="23" t="s">
        <v>50</v>
      </c>
      <c r="N18" s="23" t="s">
        <v>48</v>
      </c>
      <c r="O18" s="77" t="s">
        <v>51</v>
      </c>
      <c r="P18" s="77"/>
      <c r="Q18" s="77"/>
      <c r="R18" s="23" t="s">
        <v>149</v>
      </c>
      <c r="S18" s="23" t="s">
        <v>151</v>
      </c>
      <c r="T18" s="4" t="s">
        <v>150</v>
      </c>
      <c r="U18" s="23" t="s">
        <v>52</v>
      </c>
      <c r="V18" s="77" t="s">
        <v>58</v>
      </c>
      <c r="W18" s="77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0"/>
      <c r="R19" s="8"/>
      <c r="S19" s="8"/>
      <c r="T19" s="9"/>
      <c r="U19" s="31"/>
      <c r="W19" s="5"/>
      <c r="X19" s="27"/>
      <c r="Y19" s="27"/>
      <c r="Z19" s="27"/>
      <c r="AA19" s="27"/>
      <c r="AB19" s="27"/>
      <c r="AC19" s="27"/>
      <c r="AD19" s="27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21</v>
      </c>
      <c r="K20" s="6" t="str">
        <f>IF(LEN(ARRIVAL!B18)=8,IFERROR(MID(ARRIVAL!B18,3,2),""),IFERROR(MID(ARRIVAL!B18,2,2),""))</f>
        <v>06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17</v>
      </c>
      <c r="N20" s="6" t="str">
        <f>IFERROR(RIGHT(ARRIVAL!B19,2),"")</f>
        <v>00</v>
      </c>
      <c r="O20" s="6" t="str">
        <f>IFERROR(IF(LEN(ARRIVAL!C19)=3,LEFT(ARRIVAL!C19,1),IF(LEN(ARRIVAL!C19)=4,LEFT(ARRIVAL!C19,2),"")),"")</f>
        <v>1</v>
      </c>
      <c r="P20" s="6" t="str">
        <f>IFERROR(RIGHT(ARRIVAL!C19,2),"")</f>
        <v>00</v>
      </c>
      <c r="Q20" s="30">
        <f>IFERROR(S20*SIGN(O20),"")</f>
        <v>4.1666666666666664E-2</v>
      </c>
      <c r="R20" s="8">
        <f>IFERROR(TIME(M20,N20,0),"")</f>
        <v>0.70833333333333337</v>
      </c>
      <c r="S20" s="8">
        <f t="shared" ref="S20:S23" si="5">IFERROR(TIME(ABS(O20),ABS(P20),0),"")</f>
        <v>4.1666666666666664E-2</v>
      </c>
      <c r="T20" s="9">
        <f>IFERROR(DATE(L20,K20,J20)+R20,"")</f>
        <v>45464.708333333336</v>
      </c>
      <c r="U20" s="31">
        <f t="shared" ref="U20:U23" si="6">IFERROR(T20-Q20,"")</f>
        <v>45464.666666666672</v>
      </c>
      <c r="V20" s="11"/>
      <c r="W20" s="5" t="s">
        <v>59</v>
      </c>
      <c r="X20" s="27">
        <f>IFERROR(ARRIVAL!B23,"")</f>
        <v>1107</v>
      </c>
      <c r="Y20" s="27">
        <f>IFERROR(ARRIVAL!B24,"")</f>
        <v>0</v>
      </c>
      <c r="Z20" s="27">
        <f>IFERROR(ARRIVAL!B25,"")</f>
        <v>445.7</v>
      </c>
      <c r="AA20" s="27">
        <f>IFERROR(ARRIVAL!B26,"")</f>
        <v>136167</v>
      </c>
      <c r="AB20" s="27"/>
      <c r="AC20" s="27"/>
      <c r="AD20" s="27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29</v>
      </c>
      <c r="K21" s="6" t="str">
        <f>IF(LEN(ARRIVAL!F18)=8,IFERROR(MID(ARRIVAL!F18,3,2),""),IFERROR(MID(ARRIVAL!F18,2,2),""))</f>
        <v>06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4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3</v>
      </c>
      <c r="P21" s="6" t="str">
        <f>IFERROR(RIGHT(ARRIVAL!G19,2),"")</f>
        <v>00</v>
      </c>
      <c r="Q21" s="30">
        <f t="shared" ref="Q21:Q23" si="7">IFERROR(S21*SIGN(O21),"")</f>
        <v>0.125</v>
      </c>
      <c r="R21" s="8">
        <f t="shared" ref="R21:R23" si="8">IFERROR(TIME(M21,N21,0),"")</f>
        <v>0.16666666666666666</v>
      </c>
      <c r="S21" s="8">
        <f t="shared" si="5"/>
        <v>0.125</v>
      </c>
      <c r="T21" s="9">
        <f>IFERROR(DATE(L21,K21,J21)+R21,"")</f>
        <v>45472.166666666664</v>
      </c>
      <c r="U21" s="31">
        <f t="shared" si="6"/>
        <v>45472.041666666664</v>
      </c>
      <c r="V21" s="11">
        <f>IFERROR(((24*(U21-U20))),"")</f>
        <v>176.99999999982538</v>
      </c>
      <c r="W21" s="5" t="s">
        <v>60</v>
      </c>
      <c r="X21" s="27">
        <f>IFERROR(ARRIVAL!F23,"")</f>
        <v>1107</v>
      </c>
      <c r="Y21" s="27">
        <f>IFERROR(ARRIVAL!F24,"")</f>
        <v>0</v>
      </c>
      <c r="Z21" s="27">
        <f>IFERROR(ARRIVAL!F25,"")</f>
        <v>434.83</v>
      </c>
      <c r="AA21" s="27">
        <f>IFERROR(ARRIVAL!F26,"")</f>
        <v>135169.5</v>
      </c>
      <c r="AB21" s="27">
        <f>IF($U$21&lt;&gt;"",(X20+Y20)-(X21+Y21),"")</f>
        <v>0</v>
      </c>
      <c r="AC21" s="27">
        <f>IF($U$21&lt;&gt;"",Z20-Z21,"")</f>
        <v>10.870000000000005</v>
      </c>
      <c r="AD21" s="27">
        <f>IF($U$21&lt;&gt;"",AA20-AA21,"")</f>
        <v>997.5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0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1" t="str">
        <f t="shared" si="6"/>
        <v/>
      </c>
      <c r="V22" s="11"/>
      <c r="W22" s="5"/>
      <c r="X22" s="27"/>
      <c r="Y22" s="27"/>
      <c r="Z22" s="27"/>
      <c r="AA22" s="27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0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1" t="str">
        <f t="shared" si="6"/>
        <v/>
      </c>
      <c r="V23" s="11" t="str">
        <f>IFERROR(((24*(U23-U22))),"")</f>
        <v/>
      </c>
      <c r="W23" s="5" t="s">
        <v>63</v>
      </c>
      <c r="X23" s="27"/>
      <c r="Y23" s="27"/>
      <c r="Z23" s="27"/>
      <c r="AA23" s="27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0"/>
      <c r="R24" s="8"/>
      <c r="S24" s="8"/>
      <c r="T24" s="9"/>
      <c r="U24" s="31"/>
      <c r="V24" s="11"/>
      <c r="W24" s="5"/>
      <c r="X24" s="27"/>
      <c r="Y24" s="27"/>
      <c r="Z24" s="27"/>
      <c r="AA24" s="27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2023-12-14T20:29:20Z</cp:lastPrinted>
  <dcterms:created xsi:type="dcterms:W3CDTF">2023-11-13T10:14:48Z</dcterms:created>
  <dcterms:modified xsi:type="dcterms:W3CDTF">2024-06-30T09:06:21Z</dcterms:modified>
</cp:coreProperties>
</file>