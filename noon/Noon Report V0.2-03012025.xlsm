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4000" windowHeight="9135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U23" i="3"/>
  <c r="U6" i="3"/>
  <c r="U20" i="3"/>
  <c r="V21" i="3" s="1"/>
  <c r="U5" i="3"/>
  <c r="U4" i="3"/>
  <c r="AB4" i="3" s="1"/>
  <c r="U2" i="3"/>
  <c r="U7" i="3"/>
  <c r="U3" i="3"/>
  <c r="AB21" i="3"/>
  <c r="AD21" i="3"/>
  <c r="AC21" i="3"/>
  <c r="U22" i="3"/>
  <c r="V23" i="3" s="1"/>
  <c r="AC4" i="3" l="1"/>
  <c r="V3" i="3"/>
  <c r="F31" i="2" s="1"/>
  <c r="J31" i="2" s="1"/>
  <c r="AD4" i="3"/>
  <c r="J30" i="3" s="1"/>
  <c r="AD3" i="3"/>
  <c r="J33" i="2" s="1"/>
  <c r="AB3" i="3"/>
  <c r="B33" i="2" s="1"/>
  <c r="V4" i="3"/>
  <c r="F32" i="2" s="1"/>
  <c r="J32" i="2" s="1"/>
  <c r="V6" i="3"/>
  <c r="AC3" i="3"/>
  <c r="F33" i="2" s="1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<sst xmlns="http://schemas.openxmlformats.org/spreadsheetml/2006/main" count="225" uniqueCount="164">
  <si>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</si>
  <si>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</si>
  <si>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</si>
  <si>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</si>
  <si>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</si>
  <si>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</si>
  <si>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</si>
  <si>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</si>
  <si>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</si>
  <si>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</si>
  <si>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</si>
  <si>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</si>
  <si>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</si>
  <si>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</si>
  <si>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</si>
  <si>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</si>
  <si>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</si>
  <si>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</si>
  <si>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</si>
  <si>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</si>
  <si>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</si>
  <si>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</si>
  <si>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</si>
  <si>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</si>
  <si>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</si>
  <si>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</si>
  <si>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</si>
  <si>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</si>
  <si>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</si>
  <si>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</si>
  <si>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</si>
  <si>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</si>
  <si>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</si>
  <si>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</si>
  <si>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</si>
  <si>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</si>
  <si>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</si>
  <si>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</si>
  <si>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</si>
  <si>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</si>
  <si>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</si>
  <si>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</si>
  <si>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</si>
  <si>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</si>
  <si>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</si>
  <si>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</si>
  <si>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</si>
  <si>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</si>
  <si>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</si>
  <si>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</si>
  <si>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</si>
  <si>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</si>
  <si>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</si>
  <si>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</si>
  <si>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</si>
  <si>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</si>
  <si>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</si>
  <si>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</si>
  <si>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</si>
  <si>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</si>
  <si>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</si>
  <si>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</si>
  <si>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</si>
  <si>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</si>
  <si>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</si>
  <si>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</si>
  <si>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</si>
  <si>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</si>
  <si>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</si>
  <si>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</si>
  <si>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</si>
  <si>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</si>
  <si>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</si>
  <si>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</si>
  <si>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</si>
  <si>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</si>
  <si>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</si>
  <si>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</si>
  <si>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</si>
  <si>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</si>
  <si>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</si>
  <si>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</si>
  <si>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</si>
  <si>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</si>
  <si>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</si>
  <si>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</si>
  <si>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</si>
  <si>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</si>
  <si>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</si>
  <si>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</si>
  <si>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</si>
  <si>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</si>
  <si>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</si>
  <si>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</si>
  <si>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</si>
  <si>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</si>
  <si>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</si>
  <si>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</si>
  <si>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</si>
  <si>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</si>
  <si>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</si>
  <si>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</si>
  <si>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</si>
  <si>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</si>
  <si>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</si>
  <si>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</si>
  <si>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</si>
  <si>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</si>
  <si>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</si>
  <si>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</si>
  <si>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</si>
  <si>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</si>
  <si>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</si>
  <si>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</si>
  <si>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</si>
  <si>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</si>
  <si>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</si>
  <si>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</si>
  <si>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</si>
  <si>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</si>
  <si>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</si>
  <si>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</si>
  <si>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</si>
  <si>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</si>
  <si>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</si>
  <si>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</si>
  <si>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</si>
  <si>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</si>
  <si>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</si>
  <si>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</si>
  <si>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</si>
  <si>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</si>
  <si>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</si>
  <si>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</si>
  <si>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</si>
  <si>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</si>
  <si>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</si>
  <si>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</si>
  <si>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</si>
  <si>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</si>
  <si>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</si>
  <si>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</si>
  <si>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</si>
  <si>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</si>
  <si>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</si>
  <si>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</si>
  <si>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</si>
  <si>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</si>
  <si>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</si>
  <si>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</si>
  <si>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</si>
  <si>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</si>
  <si>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</si>
  <si>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</si>
  <si>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</si>
  <si>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</si>
  <si>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</si>
  <si>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</si>
  <si>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</si>
  <si>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</si>
  <si>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DZAZW</t>
  </si>
  <si>
    <t>001/25</t>
  </si>
  <si>
    <t>M2392-12/24-OUG168-BOTAS</t>
  </si>
  <si>
    <t>SW/3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</si>
</sst>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J13" sqref="J13:K13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58" t="s">
        <v>7</v>
      </c>
      <c r="B2" s="58"/>
      <c r="C2" s="58"/>
      <c r="E2" s="21" t="s">
        <v>45</v>
      </c>
      <c r="F2" s="48" t="s">
        <v>18</v>
      </c>
      <c r="G2" s="48"/>
      <c r="I2" s="22" t="s">
        <v>69</v>
      </c>
      <c r="J2" s="40" t="s">
        <v>159</v>
      </c>
      <c r="K2" s="40"/>
    </row>
    <row r="3" spans="1:11" s="23" customFormat="1" ht="15" customHeight="1" x14ac:dyDescent="0.25">
      <c r="A3" s="51" t="s">
        <v>157</v>
      </c>
      <c r="B3" s="51"/>
      <c r="C3" s="51"/>
      <c r="D3" s="51"/>
      <c r="E3" s="51"/>
      <c r="F3" s="51"/>
      <c r="G3" s="51"/>
      <c r="H3" s="51"/>
      <c r="I3" s="51"/>
      <c r="J3" s="51"/>
      <c r="K3" s="51"/>
    </row>
    <row r="4" spans="1:11" ht="15" customHeight="1" x14ac:dyDescent="0.25">
      <c r="A4" s="42" t="s">
        <v>29</v>
      </c>
      <c r="B4" s="42"/>
      <c r="C4" s="42"/>
      <c r="E4" s="42" t="s">
        <v>140</v>
      </c>
      <c r="F4" s="42"/>
      <c r="G4" s="42"/>
      <c r="I4" s="42" t="s">
        <v>22</v>
      </c>
      <c r="J4" s="42"/>
      <c r="K4" s="42"/>
    </row>
    <row r="5" spans="1:11" ht="15" customHeight="1" x14ac:dyDescent="0.25">
      <c r="A5" s="29" t="s">
        <v>25</v>
      </c>
      <c r="B5" s="40" t="s">
        <v>27</v>
      </c>
      <c r="C5" s="40"/>
      <c r="E5" s="29" t="s">
        <v>52</v>
      </c>
      <c r="F5" s="40" t="s">
        <v>163</v>
      </c>
      <c r="G5" s="40"/>
      <c r="I5" s="29" t="s">
        <v>32</v>
      </c>
      <c r="J5" s="53">
        <v>1107</v>
      </c>
      <c r="K5" s="53"/>
    </row>
    <row r="6" spans="1:11" ht="15" customHeight="1" x14ac:dyDescent="0.25">
      <c r="A6" s="29" t="s">
        <v>139</v>
      </c>
      <c r="B6" s="40" t="s">
        <v>162</v>
      </c>
      <c r="C6" s="40"/>
      <c r="E6" s="29" t="s">
        <v>40</v>
      </c>
      <c r="F6" s="54">
        <v>2</v>
      </c>
      <c r="G6" s="54"/>
      <c r="I6" s="29" t="s">
        <v>33</v>
      </c>
      <c r="J6" s="53"/>
      <c r="K6" s="53"/>
    </row>
    <row r="7" spans="1:11" ht="15" customHeight="1" x14ac:dyDescent="0.25">
      <c r="A7" s="29" t="s">
        <v>2</v>
      </c>
      <c r="B7" s="40" t="s">
        <v>161</v>
      </c>
      <c r="C7" s="40"/>
      <c r="E7" s="29" t="s">
        <v>47</v>
      </c>
      <c r="F7" s="62"/>
      <c r="G7" s="62"/>
      <c r="I7" s="29" t="s">
        <v>24</v>
      </c>
      <c r="J7" s="53">
        <v>398.25</v>
      </c>
      <c r="K7" s="53"/>
    </row>
    <row r="8" spans="1:11" ht="15" customHeight="1" x14ac:dyDescent="0.25">
      <c r="A8" s="29" t="s">
        <v>6</v>
      </c>
      <c r="B8" s="40" t="s">
        <v>160</v>
      </c>
      <c r="C8" s="40"/>
      <c r="E8" s="42" t="s">
        <v>73</v>
      </c>
      <c r="F8" s="42"/>
      <c r="G8" s="42"/>
      <c r="I8" s="29" t="s">
        <v>34</v>
      </c>
      <c r="J8" s="52">
        <v>3310.4</v>
      </c>
      <c r="K8" s="52"/>
    </row>
    <row r="9" spans="1:11" ht="15" customHeight="1" x14ac:dyDescent="0.25">
      <c r="A9" s="29" t="s">
        <v>0</v>
      </c>
      <c r="B9" s="59">
        <v>3012025</v>
      </c>
      <c r="C9" s="59"/>
      <c r="E9" s="29" t="s">
        <v>76</v>
      </c>
      <c r="F9" s="12">
        <v>-160.18</v>
      </c>
      <c r="G9" s="12"/>
      <c r="I9" s="29" t="s">
        <v>51</v>
      </c>
      <c r="J9" s="57">
        <v>64277</v>
      </c>
      <c r="K9" s="57"/>
    </row>
    <row r="10" spans="1:11" ht="15" customHeight="1" x14ac:dyDescent="0.25">
      <c r="A10" s="29" t="s">
        <v>53</v>
      </c>
      <c r="B10" s="9">
        <v>1200</v>
      </c>
      <c r="C10" s="10">
        <v>200</v>
      </c>
      <c r="E10" s="29" t="s">
        <v>75</v>
      </c>
      <c r="F10" s="12">
        <v>-160.30000000000001</v>
      </c>
      <c r="G10" s="12"/>
      <c r="I10" s="42" t="s">
        <v>72</v>
      </c>
      <c r="J10" s="42"/>
      <c r="K10" s="42"/>
    </row>
    <row r="11" spans="1:11" ht="15" customHeight="1" x14ac:dyDescent="0.25">
      <c r="A11" s="29" t="s">
        <v>5</v>
      </c>
      <c r="B11" s="66">
        <v>36022</v>
      </c>
      <c r="C11" s="67"/>
      <c r="E11" s="29" t="s">
        <v>77</v>
      </c>
      <c r="F11" s="12">
        <v>-160.35</v>
      </c>
      <c r="G11" s="12"/>
      <c r="I11" s="29" t="s">
        <v>138</v>
      </c>
      <c r="J11" s="50">
        <v>56</v>
      </c>
      <c r="K11" s="50"/>
    </row>
    <row r="12" spans="1:11" ht="15" customHeight="1" x14ac:dyDescent="0.25">
      <c r="A12" s="29" t="s">
        <v>4</v>
      </c>
      <c r="B12" s="64">
        <v>-22419</v>
      </c>
      <c r="C12" s="65"/>
      <c r="E12" s="29" t="s">
        <v>78</v>
      </c>
      <c r="F12" s="12">
        <v>-159.94</v>
      </c>
      <c r="G12" s="12"/>
      <c r="I12" s="29" t="s">
        <v>48</v>
      </c>
      <c r="J12" s="55">
        <v>123620546</v>
      </c>
      <c r="K12" s="56"/>
    </row>
    <row r="13" spans="1:11" ht="15" customHeight="1" x14ac:dyDescent="0.25">
      <c r="A13" s="29" t="s">
        <v>3</v>
      </c>
      <c r="B13" s="63">
        <v>275</v>
      </c>
      <c r="C13" s="63"/>
      <c r="E13" s="42" t="s">
        <v>158</v>
      </c>
      <c r="F13" s="42"/>
      <c r="G13" s="42"/>
      <c r="I13" s="29" t="s">
        <v>46</v>
      </c>
      <c r="J13" s="55">
        <v>1233428291</v>
      </c>
      <c r="K13" s="56"/>
    </row>
    <row r="14" spans="1:11" ht="15" customHeight="1" x14ac:dyDescent="0.25">
      <c r="A14" s="29" t="s">
        <v>137</v>
      </c>
      <c r="B14" s="61">
        <v>15.5</v>
      </c>
      <c r="C14" s="61"/>
      <c r="E14" s="29" t="s">
        <v>76</v>
      </c>
      <c r="F14" s="11">
        <v>1158</v>
      </c>
      <c r="G14" s="11"/>
      <c r="I14" s="35" t="s">
        <v>54</v>
      </c>
      <c r="J14" s="49">
        <f>IFERROR(INDEX(DATA!A1:E14,MATCH(F2,DATA!B1:B14,0),4),"")</f>
        <v>8.8188800000000001</v>
      </c>
      <c r="K14" s="49"/>
    </row>
    <row r="15" spans="1:11" ht="15" customHeight="1" x14ac:dyDescent="0.25">
      <c r="A15" s="29" t="s">
        <v>28</v>
      </c>
      <c r="B15" s="46">
        <v>311</v>
      </c>
      <c r="C15" s="46"/>
      <c r="E15" s="29" t="s">
        <v>75</v>
      </c>
      <c r="F15" s="11">
        <v>1156</v>
      </c>
      <c r="G15" s="11"/>
      <c r="I15" s="42" t="s">
        <v>74</v>
      </c>
      <c r="J15" s="42"/>
      <c r="K15" s="42"/>
    </row>
    <row r="16" spans="1:11" ht="15" customHeight="1" x14ac:dyDescent="0.25">
      <c r="A16" s="29" t="s">
        <v>50</v>
      </c>
      <c r="B16" s="46">
        <v>1164</v>
      </c>
      <c r="C16" s="46"/>
      <c r="E16" s="29" t="s">
        <v>77</v>
      </c>
      <c r="F16" s="11">
        <v>1155</v>
      </c>
      <c r="G16" s="11"/>
      <c r="I16" s="29" t="s">
        <v>0</v>
      </c>
      <c r="J16" s="59">
        <v>7012025</v>
      </c>
      <c r="K16" s="59"/>
    </row>
    <row r="17" spans="1:11" ht="15" customHeight="1" x14ac:dyDescent="0.25">
      <c r="A17" s="29" t="s">
        <v>49</v>
      </c>
      <c r="B17" s="46">
        <v>276441.76</v>
      </c>
      <c r="C17" s="46"/>
      <c r="E17" s="29" t="s">
        <v>78</v>
      </c>
      <c r="F17" s="11">
        <v>1158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36"/>
      <c r="B18" s="36"/>
      <c r="C18" s="36"/>
      <c r="D18" s="36"/>
      <c r="E18" s="36"/>
      <c r="F18" s="36"/>
      <c r="G18" s="36"/>
      <c r="H18" s="36"/>
      <c r="I18" s="36"/>
      <c r="J18" s="36"/>
      <c r="K18" s="36"/>
    </row>
    <row r="19" spans="1:11" ht="15" customHeight="1" x14ac:dyDescent="0.25">
      <c r="A19" s="42" t="s">
        <v>38</v>
      </c>
      <c r="B19" s="42"/>
      <c r="C19" s="42"/>
      <c r="E19" s="42" t="s">
        <v>39</v>
      </c>
      <c r="F19" s="42"/>
      <c r="G19" s="42"/>
      <c r="I19" s="42" t="s">
        <v>70</v>
      </c>
      <c r="J19" s="42"/>
      <c r="K19" s="42"/>
    </row>
    <row r="20" spans="1:11" ht="15" customHeight="1" x14ac:dyDescent="0.25">
      <c r="A20" s="29" t="s">
        <v>23</v>
      </c>
      <c r="B20" s="45">
        <v>2012025</v>
      </c>
      <c r="C20" s="45"/>
      <c r="E20" s="29" t="s">
        <v>37</v>
      </c>
      <c r="F20" s="69"/>
      <c r="G20" s="70"/>
      <c r="I20" s="29" t="s">
        <v>1</v>
      </c>
      <c r="J20" s="73"/>
      <c r="K20" s="73"/>
    </row>
    <row r="21" spans="1:11" ht="15" customHeight="1" x14ac:dyDescent="0.25">
      <c r="A21" s="29" t="s">
        <v>53</v>
      </c>
      <c r="B21" s="16">
        <v>1830</v>
      </c>
      <c r="C21" s="17">
        <v>300</v>
      </c>
      <c r="E21" s="29" t="s">
        <v>53</v>
      </c>
      <c r="F21" s="14"/>
      <c r="G21" s="15"/>
      <c r="I21" s="29" t="s">
        <v>41</v>
      </c>
      <c r="J21" s="43"/>
      <c r="K21" s="43"/>
    </row>
    <row r="22" spans="1:11" ht="15" customHeight="1" x14ac:dyDescent="0.25">
      <c r="A22" s="29" t="s">
        <v>31</v>
      </c>
      <c r="B22" s="44">
        <v>22</v>
      </c>
      <c r="C22" s="44"/>
      <c r="D22" s="30"/>
      <c r="E22" s="29" t="s">
        <v>30</v>
      </c>
      <c r="F22" s="47"/>
      <c r="G22" s="47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44">
        <v>276153</v>
      </c>
      <c r="C23" s="44"/>
      <c r="D23" s="30"/>
      <c r="E23" s="29" t="s">
        <v>135</v>
      </c>
      <c r="F23" s="47"/>
      <c r="G23" s="47"/>
      <c r="H23" s="30"/>
      <c r="I23" s="29" t="s">
        <v>42</v>
      </c>
      <c r="J23" s="41"/>
      <c r="K23" s="41"/>
    </row>
    <row r="24" spans="1:11" ht="15" customHeight="1" x14ac:dyDescent="0.25">
      <c r="A24" s="42" t="s">
        <v>35</v>
      </c>
      <c r="B24" s="42"/>
      <c r="C24" s="42"/>
      <c r="D24" s="30"/>
      <c r="E24" s="42" t="s">
        <v>36</v>
      </c>
      <c r="F24" s="42"/>
      <c r="G24" s="42"/>
      <c r="H24" s="30"/>
      <c r="I24" s="42" t="s">
        <v>71</v>
      </c>
      <c r="J24" s="42"/>
      <c r="K24" s="42"/>
    </row>
    <row r="25" spans="1:11" ht="15" customHeight="1" x14ac:dyDescent="0.25">
      <c r="A25" s="29" t="s">
        <v>32</v>
      </c>
      <c r="B25" s="80">
        <v>1107</v>
      </c>
      <c r="C25" s="80"/>
      <c r="D25" s="30"/>
      <c r="E25" s="29" t="s">
        <v>32</v>
      </c>
      <c r="F25" s="60"/>
      <c r="G25" s="60"/>
      <c r="H25" s="30"/>
      <c r="I25" s="29" t="s">
        <v>44</v>
      </c>
      <c r="J25" s="43"/>
      <c r="K25" s="43"/>
    </row>
    <row r="26" spans="1:11" ht="15" customHeight="1" x14ac:dyDescent="0.25">
      <c r="A26" s="29" t="s">
        <v>33</v>
      </c>
      <c r="B26" s="80"/>
      <c r="C26" s="80"/>
      <c r="D26" s="30"/>
      <c r="E26" s="29" t="s">
        <v>33</v>
      </c>
      <c r="F26" s="60"/>
      <c r="G26" s="60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80">
        <v>401.75</v>
      </c>
      <c r="C27" s="80"/>
      <c r="D27" s="30"/>
      <c r="E27" s="29" t="s">
        <v>24</v>
      </c>
      <c r="F27" s="60"/>
      <c r="G27" s="60"/>
      <c r="H27" s="30"/>
      <c r="I27" s="29" t="s">
        <v>43</v>
      </c>
      <c r="J27" s="41"/>
      <c r="K27" s="41"/>
    </row>
    <row r="28" spans="1:11" ht="15" customHeight="1" x14ac:dyDescent="0.25">
      <c r="A28" s="29" t="s">
        <v>34</v>
      </c>
      <c r="B28" s="79">
        <v>3344.4</v>
      </c>
      <c r="C28" s="79"/>
      <c r="D28" s="30"/>
      <c r="E28" s="29" t="s">
        <v>34</v>
      </c>
      <c r="F28" s="60"/>
      <c r="G28" s="60"/>
      <c r="H28" s="30"/>
    </row>
    <row r="29" spans="1:11" ht="8.1" customHeight="1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</row>
    <row r="30" spans="1:11" ht="20.100000000000001" customHeight="1" x14ac:dyDescent="0.25">
      <c r="A30" s="37" t="s">
        <v>108</v>
      </c>
      <c r="B30" s="38"/>
      <c r="C30" s="38"/>
      <c r="D30" s="38"/>
      <c r="E30" s="38"/>
      <c r="F30" s="38"/>
      <c r="G30" s="38"/>
      <c r="H30" s="38"/>
      <c r="I30" s="38"/>
      <c r="J30" s="38"/>
      <c r="K30" s="39"/>
    </row>
    <row r="31" spans="1:11" ht="15" customHeight="1" x14ac:dyDescent="0.25">
      <c r="A31" s="31" t="s">
        <v>55</v>
      </c>
      <c r="B31" s="77">
        <f>IF(B22="","",IF(F22&lt;&gt;"","",B15-B22))</f>
        <v>289</v>
      </c>
      <c r="C31" s="77"/>
      <c r="E31" s="31" t="s">
        <v>56</v>
      </c>
      <c r="F31" s="74">
        <f>IF(B32="",DATA!V3,"")</f>
        <v>18.499999999883585</v>
      </c>
      <c r="G31" s="74"/>
      <c r="I31" s="31" t="s">
        <v>57</v>
      </c>
      <c r="J31" s="71">
        <f>IFERROR(ROUND(B31/F31,1),"")</f>
        <v>15.6</v>
      </c>
      <c r="K31" s="71"/>
    </row>
    <row r="32" spans="1:11" ht="15" customHeight="1" x14ac:dyDescent="0.25">
      <c r="A32" s="32" t="s">
        <v>58</v>
      </c>
      <c r="B32" s="78" t="str">
        <f>IF(F22="","",F22-B22)</f>
        <v/>
      </c>
      <c r="C32" s="78"/>
      <c r="E32" s="32" t="s">
        <v>150</v>
      </c>
      <c r="F32" s="75" t="str">
        <f>IF(B32="","",DATA!V4)</f>
        <v/>
      </c>
      <c r="G32" s="75"/>
      <c r="I32" s="32" t="s">
        <v>59</v>
      </c>
      <c r="J32" s="72" t="str">
        <f>IFERROR(ROUND(B32/F32,1),"")</f>
        <v/>
      </c>
      <c r="K32" s="72"/>
    </row>
    <row r="33" spans="1:11" ht="15" customHeight="1" x14ac:dyDescent="0.25">
      <c r="A33" s="32" t="s">
        <v>144</v>
      </c>
      <c r="B33" s="76">
        <f>IF(DATA!AB3&lt;&gt;"",DATA!AB3,DATA!AB4)</f>
        <v>0</v>
      </c>
      <c r="C33" s="76"/>
      <c r="E33" s="32" t="s">
        <v>145</v>
      </c>
      <c r="F33" s="76">
        <f>IF(DATA!AC3&lt;&gt;"",DATA!AC3,DATA!AC4)</f>
        <v>3.5</v>
      </c>
      <c r="G33" s="76"/>
      <c r="I33" s="32" t="s">
        <v>146</v>
      </c>
      <c r="J33" s="68">
        <f>IF(DATA!AD3&lt;&gt;"",DATA!AD3,DATA!AD4)</f>
        <v>34</v>
      </c>
      <c r="K33" s="68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  <mergeCell ref="J33:K33"/>
    <mergeCell ref="F22:G22"/>
    <mergeCell ref="F20:G20"/>
    <mergeCell ref="J31:K31"/>
    <mergeCell ref="J32:K32"/>
    <mergeCell ref="J20:K20"/>
    <mergeCell ref="F31:G31"/>
    <mergeCell ref="F32:G32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16:K16"/>
    <mergeCell ref="I15:K15"/>
    <mergeCell ref="I19:K19"/>
    <mergeCell ref="F26:G26"/>
    <mergeCell ref="F25:G25"/>
    <mergeCell ref="E24:G24"/>
    <mergeCell ref="E19:G19"/>
    <mergeCell ref="A2:C2"/>
    <mergeCell ref="B8:C8"/>
    <mergeCell ref="B7:C7"/>
    <mergeCell ref="B6:C6"/>
    <mergeCell ref="B9:C9"/>
    <mergeCell ref="A4:C4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3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2</v>
      </c>
      <c r="P2" s="3" t="str">
        <f>IFERROR(RIGHT(NOON!C10,2),"")</f>
        <v>00</v>
      </c>
      <c r="Q2" s="33">
        <f>IFERROR(S2*SIGN(O2),"")</f>
        <v>8.3333333333333329E-2</v>
      </c>
      <c r="R2" s="5">
        <f>IFERROR(TIME(M2,N2,0),"")</f>
        <v>0.5</v>
      </c>
      <c r="S2" s="5">
        <f>IFERROR(TIME(ABS(O2),ABS(P2),0),"")</f>
        <v>8.3333333333333329E-2</v>
      </c>
      <c r="T2" s="6">
        <f t="shared" ref="T2:T7" si="0">IFERROR(DATE(L2,K2,J2)+R2,"")</f>
        <v>45660.5</v>
      </c>
      <c r="U2" s="34">
        <f>IFERROR(T2-Q2,"")</f>
        <v>45660.416666666664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398.25</v>
      </c>
      <c r="AA2" s="28">
        <f>IFERROR(NOON!J8,"")</f>
        <v>3310.4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2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18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0.77083333333333337</v>
      </c>
      <c r="S3" s="5">
        <f t="shared" ref="S3:S7" si="2">IFERROR(TIME(ABS(O3),ABS(P3),0),"")</f>
        <v>0.125</v>
      </c>
      <c r="T3" s="6">
        <f t="shared" si="0"/>
        <v>45659.770833333336</v>
      </c>
      <c r="U3" s="34">
        <f t="shared" ref="U3:U7" si="3">IFERROR(T3-Q3,"")</f>
        <v>45659.645833333336</v>
      </c>
      <c r="V3" s="8">
        <f>IFERROR(((24*(U2-U3))),"")</f>
        <v>18.499999999883585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401.75</v>
      </c>
      <c r="AA3" s="28">
        <f>IFERROR(NOON!B28,"")</f>
        <v>3344.4</v>
      </c>
      <c r="AB3" s="28">
        <f>IF($U$3="","",IF($U$4="",(X3+Y3)-(X2+Y2),""))</f>
        <v>0</v>
      </c>
      <c r="AC3" s="28">
        <f>IF($U$3="","",IF($U$4="",Z3-Z2,""))</f>
        <v>3.5</v>
      </c>
      <c r="AD3" s="28">
        <f>IF($U$3="","",IF($U$4="",AA3-AA2,""))</f>
        <v>34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7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45664.291666666664</v>
      </c>
      <c r="U7" s="34">
        <f t="shared" si="3"/>
        <v>45664.25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3Engineer</cp:lastModifiedBy>
  <cp:lastPrinted>2024-04-24T11:53:07Z</cp:lastPrinted>
  <dcterms:created xsi:type="dcterms:W3CDTF">2023-11-13T10:14:48Z</dcterms:created>
  <dcterms:modified xsi:type="dcterms:W3CDTF">2025-01-03T10:29:01Z</dcterms:modified>
</cp:coreProperties>
</file>