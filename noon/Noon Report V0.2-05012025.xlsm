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3940" windowHeight="886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J33" i="2" s="1"/>
  <c r="AB3" i="3"/>
  <c r="B33" i="2" s="1"/>
  <c r="V4" i="3"/>
  <c r="F32" i="2" s="1"/>
  <c r="J32" i="2" s="1"/>
  <c r="V6" i="3"/>
  <c r="AC3" i="3"/>
  <c r="F33" i="2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<sst xmlns="http://schemas.openxmlformats.org/spreadsheetml/2006/main" count="225" uniqueCount="164">
  <si>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</si>
  <si>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</si>
  <si>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</si>
  <si>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</si>
  <si>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</si>
  <si>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</si>
  <si>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</si>
  <si>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</si>
  <si>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</si>
  <si>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</si>
  <si>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</si>
  <si>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</si>
  <si>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</si>
  <si>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</si>
  <si>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</si>
  <si>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</si>
  <si>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</si>
  <si>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</si>
  <si>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</si>
  <si>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</si>
  <si>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</si>
  <si>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</si>
  <si>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</si>
  <si>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</si>
  <si>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</si>
  <si>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</si>
  <si>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</si>
  <si>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</si>
  <si>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</si>
  <si>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</si>
  <si>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</si>
  <si>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</si>
  <si>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</si>
  <si>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</si>
  <si>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</si>
  <si>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</si>
  <si>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</si>
  <si>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</si>
  <si>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</si>
  <si>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</si>
  <si>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</si>
  <si>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</si>
  <si>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</si>
  <si>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</si>
  <si>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</si>
  <si>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</si>
  <si>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</si>
  <si>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</si>
  <si>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</si>
  <si>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</si>
  <si>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</si>
  <si>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</si>
  <si>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</si>
  <si>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</si>
  <si>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</si>
  <si>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</si>
  <si>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</si>
  <si>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</si>
  <si>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</si>
  <si>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</si>
  <si>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</si>
  <si>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</si>
  <si>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</si>
  <si>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</si>
  <si>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</si>
  <si>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</si>
  <si>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</si>
  <si>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</si>
  <si>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</si>
  <si>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</si>
  <si>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</si>
  <si>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</si>
  <si>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</si>
  <si>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</si>
  <si>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</si>
  <si>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</si>
  <si>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</si>
  <si>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</si>
  <si>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</si>
  <si>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</si>
  <si>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</si>
  <si>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</si>
  <si>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</si>
  <si>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</si>
  <si>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</si>
  <si>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</si>
  <si>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</si>
  <si>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</si>
  <si>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</si>
  <si>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</si>
  <si>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</si>
  <si>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</si>
  <si>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</si>
  <si>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</si>
  <si>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</si>
  <si>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</si>
  <si>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</si>
  <si>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</si>
  <si>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</si>
  <si>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</si>
  <si>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</si>
  <si>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</si>
  <si>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</si>
  <si>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</si>
  <si>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</si>
  <si>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</si>
  <si>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</si>
  <si>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</si>
  <si>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</si>
  <si>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</si>
  <si>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</si>
  <si>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</si>
  <si>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</si>
  <si>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</si>
  <si>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</si>
  <si>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</si>
  <si>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</si>
  <si>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</si>
  <si>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</si>
  <si>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</si>
  <si>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</si>
  <si>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</si>
  <si>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</si>
  <si>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</si>
  <si>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</si>
  <si>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</si>
  <si>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</si>
  <si>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</si>
  <si>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</si>
  <si>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</si>
  <si>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</si>
  <si>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</si>
  <si>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</si>
  <si>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</si>
  <si>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</si>
  <si>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</si>
  <si>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</si>
  <si>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</si>
  <si>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</si>
  <si>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</si>
  <si>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</si>
  <si>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</si>
  <si>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</si>
  <si>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</si>
  <si>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</si>
  <si>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</si>
  <si>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</si>
  <si>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</si>
  <si>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</si>
  <si>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</si>
  <si>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</si>
  <si>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</si>
  <si>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</si>
  <si>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</si>
  <si>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</si>
  <si>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</si>
  <si>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</si>
  <si>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</si>
  <si>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</si>
  <si>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</si>
  <si>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DZAZW</t>
  </si>
  <si>
    <t>001/25</t>
  </si>
  <si>
    <t>M2392-12/24-OUG168-BOTAS</t>
  </si>
  <si>
    <t>SW/3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</si>
</sst>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topLeftCell="A13" zoomScale="130" zoomScaleNormal="130" zoomScaleSheetLayoutView="130" workbookViewId="0">
      <selection activeCell="J13" sqref="J13:K13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162</v>
      </c>
      <c r="C6" s="55"/>
      <c r="E6" s="29" t="s">
        <v>40</v>
      </c>
      <c r="F6" s="69">
        <v>2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/>
      <c r="G7" s="56"/>
      <c r="I7" s="29" t="s">
        <v>24</v>
      </c>
      <c r="J7" s="68">
        <v>394.81</v>
      </c>
      <c r="K7" s="68"/>
    </row>
    <row r="8" spans="1:11" ht="15" customHeight="1" x14ac:dyDescent="0.25">
      <c r="A8" s="29" t="s">
        <v>6</v>
      </c>
      <c r="B8" s="55" t="s">
        <v>160</v>
      </c>
      <c r="C8" s="55"/>
      <c r="E8" s="36" t="s">
        <v>73</v>
      </c>
      <c r="F8" s="36"/>
      <c r="G8" s="36"/>
      <c r="I8" s="29" t="s">
        <v>34</v>
      </c>
      <c r="J8" s="67">
        <v>3097</v>
      </c>
      <c r="K8" s="67"/>
    </row>
    <row r="9" spans="1:11" ht="15" customHeight="1" x14ac:dyDescent="0.25">
      <c r="A9" s="29" t="s">
        <v>0</v>
      </c>
      <c r="B9" s="62">
        <v>5012025</v>
      </c>
      <c r="C9" s="62"/>
      <c r="E9" s="29" t="s">
        <v>76</v>
      </c>
      <c r="F9" s="12">
        <v>-159.96</v>
      </c>
      <c r="G9" s="12"/>
      <c r="I9" s="29" t="s">
        <v>51</v>
      </c>
      <c r="J9" s="72">
        <v>64277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-159.91999999999999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37574</v>
      </c>
      <c r="C11" s="61"/>
      <c r="E11" s="29" t="s">
        <v>77</v>
      </c>
      <c r="F11" s="12">
        <v>-160.04</v>
      </c>
      <c r="G11" s="12"/>
      <c r="I11" s="29" t="s">
        <v>138</v>
      </c>
      <c r="J11" s="65">
        <v>42</v>
      </c>
      <c r="K11" s="65"/>
    </row>
    <row r="12" spans="1:11" ht="15" customHeight="1" x14ac:dyDescent="0.25">
      <c r="A12" s="29" t="s">
        <v>4</v>
      </c>
      <c r="B12" s="58">
        <v>-7317</v>
      </c>
      <c r="C12" s="59"/>
      <c r="E12" s="29" t="s">
        <v>78</v>
      </c>
      <c r="F12" s="12">
        <v>-159.44</v>
      </c>
      <c r="G12" s="12"/>
      <c r="I12" s="29" t="s">
        <v>48</v>
      </c>
      <c r="J12" s="70">
        <v>123845567</v>
      </c>
      <c r="K12" s="71"/>
    </row>
    <row r="13" spans="1:11" ht="15" customHeight="1" x14ac:dyDescent="0.25">
      <c r="A13" s="29" t="s">
        <v>3</v>
      </c>
      <c r="B13" s="57">
        <v>260</v>
      </c>
      <c r="C13" s="57"/>
      <c r="E13" s="36" t="s">
        <v>158</v>
      </c>
      <c r="F13" s="36"/>
      <c r="G13" s="36"/>
      <c r="I13" s="29" t="s">
        <v>46</v>
      </c>
      <c r="J13" s="70">
        <v>123652965</v>
      </c>
      <c r="K13" s="71"/>
    </row>
    <row r="14" spans="1:11" ht="15" customHeight="1" x14ac:dyDescent="0.25">
      <c r="A14" s="29" t="s">
        <v>137</v>
      </c>
      <c r="B14" s="54">
        <v>15</v>
      </c>
      <c r="C14" s="54"/>
      <c r="E14" s="29" t="s">
        <v>76</v>
      </c>
      <c r="F14" s="11">
        <v>1112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1066</v>
      </c>
      <c r="C15" s="53"/>
      <c r="E15" s="29" t="s">
        <v>75</v>
      </c>
      <c r="F15" s="11">
        <v>1110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414</v>
      </c>
      <c r="C16" s="53"/>
      <c r="E16" s="29" t="s">
        <v>77</v>
      </c>
      <c r="F16" s="11">
        <v>1110</v>
      </c>
      <c r="G16" s="11"/>
      <c r="I16" s="29" t="s">
        <v>0</v>
      </c>
      <c r="J16" s="62">
        <v>7012025</v>
      </c>
      <c r="K16" s="62"/>
    </row>
    <row r="17" spans="1:11" ht="15" customHeight="1" x14ac:dyDescent="0.25">
      <c r="A17" s="29" t="s">
        <v>49</v>
      </c>
      <c r="B17" s="53">
        <v>277192.71999999997</v>
      </c>
      <c r="C17" s="53"/>
      <c r="E17" s="29" t="s">
        <v>78</v>
      </c>
      <c r="F17" s="11">
        <v>1112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2012025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1830</v>
      </c>
      <c r="C21" s="17">
        <v>300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22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276153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401.75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3344.4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1044</v>
      </c>
      <c r="C31" s="40"/>
      <c r="E31" s="31" t="s">
        <v>56</v>
      </c>
      <c r="F31" s="51">
        <f>IF(B32="",DATA!V3,"")</f>
        <v>67.5</v>
      </c>
      <c r="G31" s="51"/>
      <c r="I31" s="31" t="s">
        <v>57</v>
      </c>
      <c r="J31" s="48">
        <f>IFERROR(ROUND(B31/F31,1),"")</f>
        <v>15.5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6.9399999999999977</v>
      </c>
      <c r="G33" s="39"/>
      <c r="I33" s="32" t="s">
        <v>146</v>
      </c>
      <c r="J33" s="44">
        <f>IF(DATA!AD3&lt;&gt;"",DATA!AD3,DATA!AD4)</f>
        <v>247.40000000000009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5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45662.5</v>
      </c>
      <c r="U2" s="34">
        <f>IFERROR(T2-Q2,"")</f>
        <v>45662.458333333336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394.81</v>
      </c>
      <c r="AA2" s="28">
        <f>IFERROR(NOON!J8,"")</f>
        <v>3097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2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0.77083333333333337</v>
      </c>
      <c r="S3" s="5">
        <f t="shared" ref="S3:S7" si="2">IFERROR(TIME(ABS(O3),ABS(P3),0),"")</f>
        <v>0.125</v>
      </c>
      <c r="T3" s="6">
        <f t="shared" si="0"/>
        <v>45659.770833333336</v>
      </c>
      <c r="U3" s="34">
        <f t="shared" ref="U3:U7" si="3">IFERROR(T3-Q3,"")</f>
        <v>45659.645833333336</v>
      </c>
      <c r="V3" s="8">
        <f>IFERROR(((24*(U2-U3))),"")</f>
        <v>67.5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401.75</v>
      </c>
      <c r="AA3" s="28">
        <f>IFERROR(NOON!B28,"")</f>
        <v>3344.4</v>
      </c>
      <c r="AB3" s="28">
        <f>IF($U$3="","",IF($U$4="",(X3+Y3)-(X2+Y2),""))</f>
        <v>0</v>
      </c>
      <c r="AC3" s="28">
        <f>IF($U$3="","",IF($U$4="",Z3-Z2,""))</f>
        <v>6.9399999999999977</v>
      </c>
      <c r="AD3" s="28">
        <f>IF($U$3="","",IF($U$4="",AA3-AA2,""))</f>
        <v>247.40000000000009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7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45664.291666666664</v>
      </c>
      <c r="U7" s="34">
        <f t="shared" si="3"/>
        <v>45664.25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3Engineer</cp:lastModifiedBy>
  <cp:lastPrinted>2024-04-24T11:53:07Z</cp:lastPrinted>
  <dcterms:created xsi:type="dcterms:W3CDTF">2023-11-13T10:14:48Z</dcterms:created>
  <dcterms:modified xsi:type="dcterms:W3CDTF">2025-01-06T10:40:52Z</dcterms:modified>
</cp:coreProperties>
</file>