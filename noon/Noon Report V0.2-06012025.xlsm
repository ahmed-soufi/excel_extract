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"/>
    </mc:Choice>
  </mc:AlternateContent>
  <workbookProtection workbookAlgorithmName="SHA-512" workbookHashValue="dgPRH8hXsD8KNPwEfg4FmgDFFpTOIuGE2IOO5Xhhec1gULjnvjUXnS1u73Pi2hPhpDKksSx6ew989pUa2Ylv0w==" workbookSaltValue="1YoZKWEcq4K6uLOd7xSQIw==" workbookSpinCount="100000" lockStructure="1"/>
  <bookViews>
    <workbookView xWindow="0" yWindow="0" windowWidth="24000" windowHeight="9135"/>
  </bookViews>
  <sheets>
    <sheet name="NOON" sheetId="2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7" i="3" l="1"/>
  <c r="J7" i="3"/>
  <c r="K6" i="3"/>
  <c r="J6" i="3"/>
  <c r="K5" i="3"/>
  <c r="J5" i="3"/>
  <c r="K2" i="3"/>
  <c r="L2" i="3"/>
  <c r="J2" i="3"/>
  <c r="M2" i="3"/>
  <c r="N2" i="3"/>
  <c r="K3" i="3"/>
  <c r="J3" i="3"/>
  <c r="K4" i="3"/>
  <c r="J4" i="3"/>
  <c r="J14" i="2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AA4" i="3"/>
  <c r="Z4" i="3"/>
  <c r="Y4" i="3"/>
  <c r="X4" i="3"/>
  <c r="AA3" i="3"/>
  <c r="Z3" i="3"/>
  <c r="Y3" i="3"/>
  <c r="X3" i="3"/>
  <c r="AA2" i="3"/>
  <c r="Z2" i="3"/>
  <c r="L3" i="3"/>
  <c r="N3" i="3"/>
  <c r="O3" i="3"/>
  <c r="P3" i="3"/>
  <c r="L4" i="3"/>
  <c r="M4" i="3"/>
  <c r="N4" i="3"/>
  <c r="O4" i="3"/>
  <c r="P4" i="3"/>
  <c r="Y2" i="3"/>
  <c r="X2" i="3"/>
  <c r="P7" i="3"/>
  <c r="O7" i="3"/>
  <c r="N7" i="3"/>
  <c r="M7" i="3"/>
  <c r="L7" i="3"/>
  <c r="P6" i="3"/>
  <c r="O6" i="3"/>
  <c r="N6" i="3"/>
  <c r="M6" i="3"/>
  <c r="L6" i="3"/>
  <c r="P5" i="3"/>
  <c r="O5" i="3"/>
  <c r="N5" i="3"/>
  <c r="M5" i="3"/>
  <c r="L5" i="3"/>
  <c r="B31" i="2"/>
  <c r="O2" i="3"/>
  <c r="P2" i="3"/>
  <c r="B32" i="2"/>
  <c r="S23" i="3" l="1"/>
  <c r="Q23" i="3" s="1"/>
  <c r="S2" i="3"/>
  <c r="Q2" i="3" s="1"/>
  <c r="R5" i="3"/>
  <c r="T5" i="3" s="1"/>
  <c r="R6" i="3"/>
  <c r="T6" i="3" s="1"/>
  <c r="S7" i="3"/>
  <c r="Q7" i="3" s="1"/>
  <c r="S4" i="3"/>
  <c r="Q4" i="3" s="1"/>
  <c r="S3" i="3"/>
  <c r="Q3" i="3" s="1"/>
  <c r="S20" i="3"/>
  <c r="Q20" i="3" s="1"/>
  <c r="S21" i="3"/>
  <c r="Q21" i="3" s="1"/>
  <c r="R23" i="3"/>
  <c r="T23" i="3" s="1"/>
  <c r="R22" i="3"/>
  <c r="T22" i="3" s="1"/>
  <c r="R2" i="3"/>
  <c r="T2" i="3" s="1"/>
  <c r="S5" i="3"/>
  <c r="Q5" i="3" s="1"/>
  <c r="S6" i="3"/>
  <c r="Q6" i="3" s="1"/>
  <c r="R7" i="3"/>
  <c r="T7" i="3" s="1"/>
  <c r="R4" i="3"/>
  <c r="T4" i="3" s="1"/>
  <c r="R20" i="3"/>
  <c r="T20" i="3" s="1"/>
  <c r="R21" i="3"/>
  <c r="T21" i="3" s="1"/>
  <c r="R3" i="3"/>
  <c r="T3" i="3" s="1"/>
  <c r="S22" i="3"/>
  <c r="Q22" i="3" s="1"/>
  <c r="U21" i="3" l="1"/>
  <c r="U23" i="3"/>
  <c r="U6" i="3"/>
  <c r="U20" i="3"/>
  <c r="V21" i="3" s="1"/>
  <c r="U5" i="3"/>
  <c r="U4" i="3"/>
  <c r="AB4" i="3" s="1"/>
  <c r="U2" i="3"/>
  <c r="U7" i="3"/>
  <c r="U3" i="3"/>
  <c r="AB21" i="3"/>
  <c r="AD21" i="3"/>
  <c r="AC21" i="3"/>
  <c r="U22" i="3"/>
  <c r="V23" i="3" l="1"/>
  <c r="AC4" i="3"/>
  <c r="V3" i="3"/>
  <c r="F31" i="2" s="1"/>
  <c r="J31" i="2" s="1"/>
  <c r="AD4" i="3"/>
  <c r="J30" i="3" s="1"/>
  <c r="AD3" i="3"/>
  <c r="J33" i="2" s="1"/>
  <c r="AB3" i="3"/>
  <c r="B33" i="2" s="1"/>
  <c r="V4" i="3"/>
  <c r="F32" i="2" s="1"/>
  <c r="J32" i="2" s="1"/>
  <c r="V6" i="3"/>
  <c r="AC3" i="3"/>
  <c r="F33" i="2" s="1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±DDmmd without separators, + for North, - for South, example: type -26125 to enter 26°12'.5 S)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(format xxx without units)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±DDDmmd without separators, + for West, - for East, example: type -026125 to enter 026°12'.5 E)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DDD without units)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If needed, depending on vessel and cargo types</t>
        </r>
      </text>
    </comment>
    <comment ref="I13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xx.x)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 xml:space="preserve">(Insérer la pression des cuves en millibars, sans décimales)
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(Insert the planned remaining distance to final destination berth, format xxxx without decimals)</t>
        </r>
      </text>
    </comment>
    <comment ref="I16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7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0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ddMMyyyy without separators)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21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(Local time format HHmm without separators, Time zone format +hhmm or -hhmm without separators, for example, type +0120 for GMT+ 1h20, and type -0200 for GMT-2)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2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distance from start of voyage to SOSP)</t>
        </r>
      </text>
    </comment>
    <comment ref="E2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3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(format xxxx without decimals, insert value of trip counter, it should display surface distance from start of voyage to SOSP)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6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7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(metric tons)</t>
        </r>
      </text>
    </comment>
    <comment ref="E2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7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8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(cubic meters)</t>
        </r>
      </text>
    </comment>
    <comment ref="E2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<sst xmlns="http://schemas.openxmlformats.org/spreadsheetml/2006/main" count="225" uniqueCount="164">
  <si>
    <t>Date</t>
  </si>
  <si>
    <t>Port</t>
  </si>
  <si>
    <t>DCS Voyage number</t>
  </si>
  <si>
    <t>Course</t>
  </si>
  <si>
    <t>Longitude</t>
  </si>
  <si>
    <t>Latitude</t>
  </si>
  <si>
    <t>Destination Port</t>
  </si>
  <si>
    <t>NOON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</si>
  <si>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</si>
  <si>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</si>
  <si>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</si>
  <si>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</si>
  <si>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</si>
  <si>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</si>
  <si>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</si>
  <si>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</si>
  <si>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</si>
  <si>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</si>
  <si>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</si>
  <si>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</si>
  <si>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</si>
  <si>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</si>
  <si>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REMAINING ON BOARD AT NOON</t>
  </si>
  <si>
    <t>Started sea passage - Date</t>
  </si>
  <si>
    <t>MGO</t>
  </si>
  <si>
    <t>Vessel status</t>
  </si>
  <si>
    <t>At anchor</t>
  </si>
  <si>
    <t>Ballast sea passage</t>
  </si>
  <si>
    <t>GPS trip counter</t>
  </si>
  <si>
    <t>NOON DATA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</si>
  <si>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</si>
  <si>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</si>
  <si>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</si>
  <si>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</si>
  <si>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</si>
  <si>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</si>
  <si>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</si>
  <si>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</si>
  <si>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SOSP DATA (to be filled after SOSP initiated)</t>
  </si>
  <si>
    <t>EOSP DATA (to be filled after EOSP initiated)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</si>
  <si>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</si>
  <si>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</si>
  <si>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</si>
  <si>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</si>
  <si>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</si>
  <si>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</si>
  <si>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</si>
  <si>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</si>
  <si>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</si>
  <si>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</si>
  <si>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Distance to go</t>
  </si>
  <si>
    <t>LO</t>
  </si>
  <si>
    <t>Wind - Direction/Force (Beaufort)</t>
  </si>
  <si>
    <t>Local time | Time zone</t>
  </si>
  <si>
    <t>PROPELLER PITCH</t>
  </si>
  <si>
    <t>Observed distance since SOSP</t>
  </si>
  <si>
    <t>Steaming time since SOSP</t>
  </si>
  <si>
    <t>Average speed since SOSP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</si>
  <si>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</si>
  <si>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</si>
  <si>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</si>
  <si>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</si>
  <si>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</si>
  <si>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</si>
  <si>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</si>
  <si>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</si>
  <si>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</si>
  <si>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</si>
  <si>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</si>
  <si>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</si>
  <si>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</si>
  <si>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</si>
  <si>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</si>
  <si>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AVERAGE CARGO TEMPERATURE (°c)</t>
  </si>
  <si>
    <t>ETA AT DESTINATION PORT</t>
  </si>
  <si>
    <t>Tank#2 (P|S)</t>
  </si>
  <si>
    <t>Tank#1 (P|S)</t>
  </si>
  <si>
    <t>Tank#3 (P|S)</t>
  </si>
  <si>
    <t>Tank#4 (P|S)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</si>
  <si>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</si>
  <si>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</si>
  <si>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</si>
  <si>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</si>
  <si>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</si>
  <si>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</si>
  <si>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</si>
  <si>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</si>
  <si>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</si>
  <si>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</si>
  <si>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</si>
  <si>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</si>
  <si>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</si>
  <si>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</si>
  <si>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</si>
  <si>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</si>
  <si>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UK Port</t>
  </si>
  <si>
    <t>EU Port</t>
  </si>
  <si>
    <t>Non MRV Port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</si>
  <si>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</si>
  <si>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</si>
  <si>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</si>
  <si>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</si>
  <si>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</si>
  <si>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</si>
  <si>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</si>
  <si>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</si>
  <si>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</si>
  <si>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</si>
  <si>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</si>
  <si>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</si>
  <si>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</si>
  <si>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</si>
  <si>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</si>
  <si>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</si>
  <si>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</si>
  <si>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</si>
  <si>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</si>
  <si>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</si>
  <si>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</si>
  <si>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</si>
  <si>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</si>
  <si>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</si>
  <si>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</si>
  <si>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</si>
  <si>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</si>
  <si>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</si>
  <si>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</si>
  <si>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</si>
  <si>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</si>
  <si>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</si>
  <si>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</si>
  <si>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</si>
  <si>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</si>
  <si>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</si>
  <si>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</si>
  <si>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</si>
  <si>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</si>
  <si>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Speed, actual (GPS)</t>
  </si>
  <si>
    <t>Actual rpm at noon</t>
  </si>
  <si>
    <t>Voyage reference (commercial)</t>
  </si>
  <si>
    <t>WEATHER AT NOON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</si>
  <si>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</si>
  <si>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</si>
  <si>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</si>
  <si>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</si>
  <si>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</si>
  <si>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</si>
  <si>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</si>
  <si>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</si>
  <si>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</si>
  <si>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</si>
  <si>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</si>
  <si>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</si>
  <si>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</si>
  <si>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</si>
  <si>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</si>
  <si>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Waiting-Adrift</t>
  </si>
  <si>
    <t>IMPORTANT: An adjustment report is to be used whenever vessel is at sea and involved in one of the situations listed in the "Voyage adjustment" cell in the ADJUSTMENT REPORT.</t>
  </si>
  <si>
    <t>AVERAGE CARGO TANK PRESSURE (mb)</t>
  </si>
  <si>
    <t>A.BEKAKCHA</t>
  </si>
  <si>
    <t>DZAZW</t>
  </si>
  <si>
    <t>001/25</t>
  </si>
  <si>
    <t>M2392-12/24-OUG168-BOTAS</t>
  </si>
  <si>
    <t>SSW/5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</si>
</sst>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2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0&quot;°&quot;00&quot;'.&quot;0&quot;N&quot;;00&quot;°&quot;00&quot;'.&quot;0&quot;S&quot;"/>
    <numFmt numFmtId="173" formatCode="000&quot;°&quot;00&quot;'.&quot;0&quot;W&quot;;000&quot;°&quot;00&quot;'.&quot;0&quot;E&quot;"/>
    <numFmt numFmtId="174" formatCode="000&quot;°&quot;"/>
    <numFmt numFmtId="175" formatCode="0&quot; rpm&quot;"/>
    <numFmt numFmtId="176" formatCode="0&quot; ltr&quot;"/>
    <numFmt numFmtId="177" formatCode="0&quot; h&quot;"/>
    <numFmt numFmtId="178" formatCode="0.000&quot; m&quot;"/>
    <numFmt numFmtId="179" formatCode="0.00&quot;°c&quot;"/>
    <numFmt numFmtId="180" formatCode="0&quot; mb&quot;"/>
    <numFmt numFmtId="181" formatCode="0.000&quot; mt&quot;"/>
    <numFmt numFmtId="182" formatCode="0.000&quot; m³&quot;"/>
    <numFmt numFmtId="183" formatCode="0.00&quot; t&quot;"/>
    <numFmt numFmtId="184" formatCode="0.000"/>
    <numFmt numFmtId="185" formatCode="dd/mm/yyyy\ hh:mm&quot; Z&quot;"/>
  </numFmts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  <font>
      <b/>
      <i/>
      <sz val="8"/>
      <color rgb="FFC00000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4" borderId="1" xfId="0" applyNumberFormat="1" applyFont="1" applyFill="1" applyBorder="1" applyAlignment="1" applyProtection="1">
      <alignment horizontal="center" vertical="center"/>
      <protection locked="0"/>
    </xf>
    <xf numFmtId="164" fontId="4" fillId="4" borderId="1" xfId="0" applyNumberFormat="1" applyFont="1" applyFill="1" applyBorder="1" applyAlignment="1" applyProtection="1">
      <alignment horizontal="center" vertical="center"/>
      <protection locked="0"/>
    </xf>
    <xf numFmtId="180" fontId="4" fillId="4" borderId="1" xfId="0" applyNumberFormat="1" applyFont="1" applyFill="1" applyBorder="1" applyAlignment="1" applyProtection="1">
      <alignment vertical="center"/>
      <protection locked="0"/>
    </xf>
    <xf numFmtId="179" fontId="4" fillId="4" borderId="1" xfId="0" applyNumberFormat="1" applyFont="1" applyFill="1" applyBorder="1" applyAlignment="1" applyProtection="1">
      <alignment vertical="center"/>
      <protection locked="0"/>
    </xf>
    <xf numFmtId="166" fontId="4" fillId="5" borderId="1" xfId="0" applyNumberFormat="1" applyFont="1" applyFill="1" applyBorder="1" applyAlignment="1" applyProtection="1">
      <alignment horizontal="center" vertical="center"/>
      <protection locked="0"/>
    </xf>
    <xf numFmtId="166" fontId="4" fillId="6" borderId="1" xfId="0" applyNumberFormat="1" applyFont="1" applyFill="1" applyBorder="1" applyAlignment="1" applyProtection="1">
      <alignment horizontal="center" vertical="center"/>
      <protection locked="0"/>
    </xf>
    <xf numFmtId="164" fontId="4" fillId="6" borderId="1" xfId="0" applyNumberFormat="1" applyFont="1" applyFill="1" applyBorder="1" applyAlignment="1" applyProtection="1">
      <alignment horizontal="center" vertical="center"/>
      <protection locked="0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7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0" fontId="4" fillId="0" borderId="0" xfId="0" applyFont="1" applyAlignment="1" applyProtection="1">
      <alignment horizontal="right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8" fontId="6" fillId="0" borderId="0" xfId="0" applyNumberFormat="1" applyFont="1" applyAlignment="1">
      <alignment vertical="center"/>
    </xf>
    <xf numFmtId="183" fontId="6" fillId="0" borderId="0" xfId="0" applyNumberFormat="1" applyFont="1" applyAlignment="1">
      <alignment vertical="center"/>
    </xf>
    <xf numFmtId="184" fontId="6" fillId="0" borderId="0" xfId="0" applyNumberFormat="1" applyFont="1" applyAlignment="1">
      <alignment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Border="1" applyAlignment="1" applyProtection="1">
      <alignment vertical="center"/>
    </xf>
    <xf numFmtId="0" fontId="4" fillId="0" borderId="4" xfId="0" applyFont="1" applyBorder="1" applyAlignment="1" applyProtection="1">
      <alignment vertical="center"/>
    </xf>
    <xf numFmtId="0" fontId="4" fillId="0" borderId="1" xfId="0" applyFont="1" applyBorder="1" applyAlignment="1" applyProtection="1">
      <alignment vertical="center"/>
    </xf>
    <xf numFmtId="184" fontId="6" fillId="0" borderId="0" xfId="0" applyNumberFormat="1" applyFont="1" applyAlignment="1">
      <alignment horizontal="center" vertical="center"/>
    </xf>
    <xf numFmtId="185" fontId="7" fillId="0" borderId="0" xfId="0" applyNumberFormat="1" applyFont="1" applyAlignment="1">
      <alignment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4" fillId="6" borderId="1" xfId="0" applyNumberFormat="1" applyFont="1" applyFill="1" applyBorder="1" applyAlignment="1" applyProtection="1">
      <alignment horizontal="center" vertical="center"/>
      <protection locked="0"/>
    </xf>
    <xf numFmtId="181" fontId="3" fillId="4" borderId="1" xfId="0" applyNumberFormat="1" applyFont="1" applyFill="1" applyBorder="1" applyAlignment="1" applyProtection="1">
      <alignment horizontal="center" vertical="center"/>
    </xf>
    <xf numFmtId="167" fontId="3" fillId="4" borderId="4" xfId="0" applyNumberFormat="1" applyFont="1" applyFill="1" applyBorder="1" applyAlignment="1" applyProtection="1">
      <alignment horizontal="center" vertical="center"/>
    </xf>
    <xf numFmtId="167" fontId="3" fillId="4" borderId="1" xfId="0" applyNumberFormat="1" applyFont="1" applyFill="1" applyBorder="1" applyAlignment="1" applyProtection="1">
      <alignment horizontal="center" vertical="center"/>
    </xf>
    <xf numFmtId="182" fontId="4" fillId="3" borderId="1" xfId="0" applyNumberFormat="1" applyFont="1" applyFill="1" applyBorder="1" applyAlignment="1" applyProtection="1">
      <alignment horizontal="center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2" fontId="3" fillId="4" borderId="1" xfId="0" applyNumberFormat="1" applyFont="1" applyFill="1" applyBorder="1" applyAlignment="1" applyProtection="1">
      <alignment horizontal="center" vertical="center"/>
    </xf>
    <xf numFmtId="167" fontId="4" fillId="6" borderId="1" xfId="0" applyNumberFormat="1" applyFont="1" applyFill="1" applyBorder="1" applyAlignment="1" applyProtection="1">
      <alignment horizontal="center" vertical="center"/>
      <protection locked="0"/>
    </xf>
    <xf numFmtId="165" fontId="4" fillId="6" borderId="2" xfId="0" applyNumberFormat="1" applyFont="1" applyFill="1" applyBorder="1" applyAlignment="1" applyProtection="1">
      <alignment horizontal="center" vertical="center"/>
      <protection locked="0"/>
    </xf>
    <xf numFmtId="165" fontId="4" fillId="6" borderId="5" xfId="0" applyNumberFormat="1" applyFont="1" applyFill="1" applyBorder="1" applyAlignment="1" applyProtection="1">
      <alignment horizontal="center" vertical="center"/>
      <protection locked="0"/>
    </xf>
    <xf numFmtId="171" fontId="3" fillId="4" borderId="4" xfId="0" applyNumberFormat="1" applyFont="1" applyFill="1" applyBorder="1" applyAlignment="1" applyProtection="1">
      <alignment horizontal="center" vertical="center"/>
    </xf>
    <xf numFmtId="171" fontId="3" fillId="4" borderId="1" xfId="0" applyNumberFormat="1" applyFont="1" applyFill="1" applyBorder="1" applyAlignment="1" applyProtection="1">
      <alignment horizontal="center" vertical="center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4" xfId="0" applyNumberFormat="1" applyFont="1" applyFill="1" applyBorder="1" applyAlignment="1" applyProtection="1">
      <alignment horizontal="center" vertical="center"/>
    </xf>
    <xf numFmtId="170" fontId="3" fillId="4" borderId="1" xfId="0" applyNumberFormat="1" applyFont="1" applyFill="1" applyBorder="1" applyAlignment="1" applyProtection="1">
      <alignment horizontal="center" vertical="center"/>
    </xf>
    <xf numFmtId="167" fontId="4" fillId="4" borderId="1" xfId="0" applyNumberFormat="1" applyFont="1" applyFill="1" applyBorder="1" applyAlignment="1" applyProtection="1">
      <alignment horizontal="center" vertical="center"/>
      <protection locked="0"/>
    </xf>
    <xf numFmtId="171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4" fillId="4" borderId="1" xfId="0" applyNumberFormat="1" applyFont="1" applyFill="1" applyBorder="1" applyAlignment="1" applyProtection="1">
      <alignment horizontal="center" vertical="center"/>
      <protection locked="0"/>
    </xf>
    <xf numFmtId="177" fontId="4" fillId="4" borderId="1" xfId="0" applyNumberFormat="1" applyFont="1" applyFill="1" applyBorder="1" applyAlignment="1" applyProtection="1">
      <alignment horizontal="center" vertical="center"/>
      <protection locked="0"/>
    </xf>
    <xf numFmtId="174" fontId="4" fillId="4" borderId="1" xfId="0" applyNumberFormat="1" applyFont="1" applyFill="1" applyBorder="1" applyAlignment="1" applyProtection="1">
      <alignment horizontal="center" vertical="center"/>
      <protection locked="0"/>
    </xf>
    <xf numFmtId="173" fontId="4" fillId="4" borderId="2" xfId="0" applyNumberFormat="1" applyFont="1" applyFill="1" applyBorder="1" applyAlignment="1" applyProtection="1">
      <alignment horizontal="center" vertical="center"/>
      <protection locked="0"/>
    </xf>
    <xf numFmtId="173" fontId="4" fillId="4" borderId="5" xfId="0" applyNumberFormat="1" applyFont="1" applyFill="1" applyBorder="1" applyAlignment="1" applyProtection="1">
      <alignment horizontal="center" vertical="center"/>
      <protection locked="0"/>
    </xf>
    <xf numFmtId="172" fontId="4" fillId="4" borderId="2" xfId="0" applyNumberFormat="1" applyFont="1" applyFill="1" applyBorder="1" applyAlignment="1" applyProtection="1">
      <alignment horizontal="center" vertical="center"/>
      <protection locked="0"/>
    </xf>
    <xf numFmtId="172" fontId="4" fillId="4" borderId="5" xfId="0" applyNumberFormat="1" applyFont="1" applyFill="1" applyBorder="1" applyAlignment="1" applyProtection="1">
      <alignment horizontal="center" vertical="center"/>
      <protection locked="0"/>
    </xf>
    <xf numFmtId="165" fontId="4" fillId="4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178" fontId="3" fillId="0" borderId="1" xfId="0" applyNumberFormat="1" applyFont="1" applyFill="1" applyBorder="1" applyAlignment="1" applyProtection="1">
      <alignment horizontal="center" vertical="center"/>
    </xf>
    <xf numFmtId="175" fontId="4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right" vertical="center"/>
    </xf>
    <xf numFmtId="182" fontId="4" fillId="4" borderId="1" xfId="0" applyNumberFormat="1" applyFont="1" applyFill="1" applyBorder="1" applyAlignment="1" applyProtection="1">
      <alignment horizontal="center" vertical="center"/>
      <protection locked="0"/>
    </xf>
    <xf numFmtId="18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1" xfId="0" applyNumberFormat="1" applyFont="1" applyFill="1" applyBorder="1" applyAlignment="1" applyProtection="1">
      <alignment horizontal="center" vertical="center"/>
      <protection locked="0"/>
    </xf>
    <xf numFmtId="1" fontId="4" fillId="4" borderId="2" xfId="0" applyNumberFormat="1" applyFont="1" applyFill="1" applyBorder="1" applyAlignment="1" applyProtection="1">
      <alignment horizontal="center" vertical="center"/>
      <protection locked="0"/>
    </xf>
    <xf numFmtId="1" fontId="4" fillId="4" borderId="5" xfId="0" applyNumberFormat="1" applyFont="1" applyFill="1" applyBorder="1" applyAlignment="1" applyProtection="1">
      <alignment horizontal="center" vertical="center"/>
      <protection locked="0"/>
    </xf>
    <xf numFmtId="176" fontId="4" fillId="4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2" xfId="0" applyNumberFormat="1" applyFont="1" applyFill="1" applyBorder="1" applyAlignment="1" applyProtection="1">
      <alignment horizontal="center" vertical="center"/>
    </xf>
    <xf numFmtId="49" fontId="8" fillId="2" borderId="3" xfId="0" applyNumberFormat="1" applyFont="1" applyFill="1" applyBorder="1" applyAlignment="1" applyProtection="1">
      <alignment horizontal="center" vertical="center"/>
    </xf>
    <xf numFmtId="49" fontId="8" fillId="2" borderId="5" xfId="0" applyNumberFormat="1" applyFont="1" applyFill="1" applyBorder="1" applyAlignment="1" applyProtection="1">
      <alignment horizontal="center" vertical="center"/>
    </xf>
    <xf numFmtId="167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5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4" borderId="1" xfId="0" applyNumberFormat="1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K33"/>
  <sheetViews>
    <sheetView tabSelected="1" view="pageBreakPreview" zoomScale="130" zoomScaleNormal="130" zoomScaleSheetLayoutView="130" workbookViewId="0">
      <selection activeCell="B15" sqref="B15:C15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73"/>
      <c r="B1" s="73"/>
      <c r="C1" s="73"/>
      <c r="D1" s="73"/>
      <c r="E1" s="73"/>
      <c r="F1" s="73"/>
      <c r="G1" s="73"/>
      <c r="H1" s="73"/>
      <c r="I1" s="73"/>
      <c r="J1" s="73"/>
      <c r="K1" s="73"/>
    </row>
    <row r="2" spans="1:11" ht="20.100000000000001" customHeight="1" x14ac:dyDescent="0.25">
      <c r="A2" s="63" t="s">
        <v>7</v>
      </c>
      <c r="B2" s="63"/>
      <c r="C2" s="63"/>
      <c r="E2" s="21" t="s">
        <v>45</v>
      </c>
      <c r="F2" s="80" t="s">
        <v>18</v>
      </c>
      <c r="G2" s="80"/>
      <c r="I2" s="22" t="s">
        <v>69</v>
      </c>
      <c r="J2" s="55" t="s">
        <v>159</v>
      </c>
      <c r="K2" s="55"/>
    </row>
    <row r="3" spans="1:11" s="23" customFormat="1" ht="15" customHeight="1" x14ac:dyDescent="0.25">
      <c r="A3" s="66" t="s">
        <v>157</v>
      </c>
      <c r="B3" s="66"/>
      <c r="C3" s="66"/>
      <c r="D3" s="66"/>
      <c r="E3" s="66"/>
      <c r="F3" s="66"/>
      <c r="G3" s="66"/>
      <c r="H3" s="66"/>
      <c r="I3" s="66"/>
      <c r="J3" s="66"/>
      <c r="K3" s="66"/>
    </row>
    <row r="4" spans="1:11" ht="15" customHeight="1" x14ac:dyDescent="0.25">
      <c r="A4" s="36" t="s">
        <v>29</v>
      </c>
      <c r="B4" s="36"/>
      <c r="C4" s="36"/>
      <c r="E4" s="36" t="s">
        <v>140</v>
      </c>
      <c r="F4" s="36"/>
      <c r="G4" s="36"/>
      <c r="I4" s="36" t="s">
        <v>22</v>
      </c>
      <c r="J4" s="36"/>
      <c r="K4" s="36"/>
    </row>
    <row r="5" spans="1:11" ht="15" customHeight="1" x14ac:dyDescent="0.25">
      <c r="A5" s="29" t="s">
        <v>25</v>
      </c>
      <c r="B5" s="55" t="s">
        <v>27</v>
      </c>
      <c r="C5" s="55"/>
      <c r="E5" s="29" t="s">
        <v>52</v>
      </c>
      <c r="F5" s="55" t="s">
        <v>163</v>
      </c>
      <c r="G5" s="55"/>
      <c r="I5" s="29" t="s">
        <v>32</v>
      </c>
      <c r="J5" s="68">
        <v>1107</v>
      </c>
      <c r="K5" s="68"/>
    </row>
    <row r="6" spans="1:11" ht="15" customHeight="1" x14ac:dyDescent="0.25">
      <c r="A6" s="29" t="s">
        <v>139</v>
      </c>
      <c r="B6" s="55" t="s">
        <v>162</v>
      </c>
      <c r="C6" s="55"/>
      <c r="E6" s="29" t="s">
        <v>40</v>
      </c>
      <c r="F6" s="69">
        <v>4</v>
      </c>
      <c r="G6" s="69"/>
      <c r="I6" s="29" t="s">
        <v>33</v>
      </c>
      <c r="J6" s="68"/>
      <c r="K6" s="68"/>
    </row>
    <row r="7" spans="1:11" ht="15" customHeight="1" x14ac:dyDescent="0.25">
      <c r="A7" s="29" t="s">
        <v>2</v>
      </c>
      <c r="B7" s="55" t="s">
        <v>161</v>
      </c>
      <c r="C7" s="55"/>
      <c r="E7" s="29" t="s">
        <v>47</v>
      </c>
      <c r="F7" s="56"/>
      <c r="G7" s="56"/>
      <c r="I7" s="29" t="s">
        <v>24</v>
      </c>
      <c r="J7" s="68">
        <v>394.81</v>
      </c>
      <c r="K7" s="68"/>
    </row>
    <row r="8" spans="1:11" ht="15" customHeight="1" x14ac:dyDescent="0.25">
      <c r="A8" s="29" t="s">
        <v>6</v>
      </c>
      <c r="B8" s="55" t="s">
        <v>160</v>
      </c>
      <c r="C8" s="55"/>
      <c r="E8" s="36" t="s">
        <v>73</v>
      </c>
      <c r="F8" s="36"/>
      <c r="G8" s="36"/>
      <c r="I8" s="29" t="s">
        <v>34</v>
      </c>
      <c r="J8" s="67">
        <v>2988.6</v>
      </c>
      <c r="K8" s="67"/>
    </row>
    <row r="9" spans="1:11" ht="15" customHeight="1" x14ac:dyDescent="0.25">
      <c r="A9" s="29" t="s">
        <v>0</v>
      </c>
      <c r="B9" s="62">
        <v>6012025</v>
      </c>
      <c r="C9" s="62"/>
      <c r="E9" s="29" t="s">
        <v>76</v>
      </c>
      <c r="F9" s="12">
        <v>-159.02000000000001</v>
      </c>
      <c r="G9" s="12"/>
      <c r="I9" s="29" t="s">
        <v>51</v>
      </c>
      <c r="J9" s="72">
        <v>64277</v>
      </c>
      <c r="K9" s="72"/>
    </row>
    <row r="10" spans="1:11" ht="15" customHeight="1" x14ac:dyDescent="0.25">
      <c r="A10" s="29" t="s">
        <v>53</v>
      </c>
      <c r="B10" s="9">
        <v>1200</v>
      </c>
      <c r="C10" s="10">
        <v>100</v>
      </c>
      <c r="E10" s="29" t="s">
        <v>75</v>
      </c>
      <c r="F10" s="12">
        <v>-158.94999999999999</v>
      </c>
      <c r="G10" s="12"/>
      <c r="I10" s="36" t="s">
        <v>72</v>
      </c>
      <c r="J10" s="36"/>
      <c r="K10" s="36"/>
    </row>
    <row r="11" spans="1:11" ht="15" customHeight="1" x14ac:dyDescent="0.25">
      <c r="A11" s="29" t="s">
        <v>5</v>
      </c>
      <c r="B11" s="60">
        <v>37173</v>
      </c>
      <c r="C11" s="61"/>
      <c r="E11" s="29" t="s">
        <v>77</v>
      </c>
      <c r="F11" s="12">
        <v>-159.06</v>
      </c>
      <c r="G11" s="12"/>
      <c r="I11" s="29" t="s">
        <v>138</v>
      </c>
      <c r="J11" s="65">
        <v>42</v>
      </c>
      <c r="K11" s="65"/>
    </row>
    <row r="12" spans="1:11" ht="15" customHeight="1" x14ac:dyDescent="0.25">
      <c r="A12" s="29" t="s">
        <v>4</v>
      </c>
      <c r="B12" s="58">
        <v>-2475</v>
      </c>
      <c r="C12" s="59"/>
      <c r="E12" s="29" t="s">
        <v>78</v>
      </c>
      <c r="F12" s="12">
        <v>-158.49</v>
      </c>
      <c r="G12" s="12"/>
      <c r="I12" s="29" t="s">
        <v>48</v>
      </c>
      <c r="J12" s="70">
        <v>123845567</v>
      </c>
      <c r="K12" s="71"/>
    </row>
    <row r="13" spans="1:11" ht="15" customHeight="1" x14ac:dyDescent="0.25">
      <c r="A13" s="29" t="s">
        <v>3</v>
      </c>
      <c r="B13" s="57">
        <v>259</v>
      </c>
      <c r="C13" s="57"/>
      <c r="E13" s="36" t="s">
        <v>158</v>
      </c>
      <c r="F13" s="36"/>
      <c r="G13" s="36"/>
      <c r="I13" s="29" t="s">
        <v>46</v>
      </c>
      <c r="J13" s="70">
        <v>123652965</v>
      </c>
      <c r="K13" s="71"/>
    </row>
    <row r="14" spans="1:11" ht="15" customHeight="1" x14ac:dyDescent="0.25">
      <c r="A14" s="29" t="s">
        <v>137</v>
      </c>
      <c r="B14" s="54">
        <v>12</v>
      </c>
      <c r="C14" s="54"/>
      <c r="E14" s="29" t="s">
        <v>76</v>
      </c>
      <c r="F14" s="11">
        <v>1173</v>
      </c>
      <c r="G14" s="11"/>
      <c r="I14" s="35" t="s">
        <v>54</v>
      </c>
      <c r="J14" s="64">
        <f>IFERROR(INDEX(DATA!A1:E14,MATCH(F2,DATA!B1:B14,0),4),"")</f>
        <v>8.8188800000000001</v>
      </c>
      <c r="K14" s="64"/>
    </row>
    <row r="15" spans="1:11" ht="15" customHeight="1" x14ac:dyDescent="0.25">
      <c r="A15" s="29" t="s">
        <v>28</v>
      </c>
      <c r="B15" s="53">
        <v>1357</v>
      </c>
      <c r="C15" s="53"/>
      <c r="E15" s="29" t="s">
        <v>75</v>
      </c>
      <c r="F15" s="11">
        <v>1171</v>
      </c>
      <c r="G15" s="11"/>
      <c r="I15" s="36" t="s">
        <v>74</v>
      </c>
      <c r="J15" s="36"/>
      <c r="K15" s="36"/>
    </row>
    <row r="16" spans="1:11" ht="15" customHeight="1" x14ac:dyDescent="0.25">
      <c r="A16" s="29" t="s">
        <v>50</v>
      </c>
      <c r="B16" s="53">
        <v>184</v>
      </c>
      <c r="C16" s="53"/>
      <c r="E16" s="29" t="s">
        <v>77</v>
      </c>
      <c r="F16" s="11">
        <v>1170</v>
      </c>
      <c r="G16" s="11"/>
      <c r="I16" s="29" t="s">
        <v>0</v>
      </c>
      <c r="J16" s="62">
        <v>7012025</v>
      </c>
      <c r="K16" s="62"/>
    </row>
    <row r="17" spans="1:11" ht="15" customHeight="1" x14ac:dyDescent="0.25">
      <c r="A17" s="29" t="s">
        <v>49</v>
      </c>
      <c r="B17" s="53">
        <v>277480.01</v>
      </c>
      <c r="C17" s="53"/>
      <c r="E17" s="29" t="s">
        <v>78</v>
      </c>
      <c r="F17" s="11">
        <v>1173</v>
      </c>
      <c r="G17" s="11"/>
      <c r="I17" s="29" t="s">
        <v>53</v>
      </c>
      <c r="J17" s="9">
        <v>700</v>
      </c>
      <c r="K17" s="10">
        <v>100</v>
      </c>
    </row>
    <row r="18" spans="1:11" ht="8.1" customHeight="1" x14ac:dyDescent="0.25">
      <c r="A18" s="73"/>
      <c r="B18" s="73"/>
      <c r="C18" s="73"/>
      <c r="D18" s="73"/>
      <c r="E18" s="73"/>
      <c r="F18" s="73"/>
      <c r="G18" s="73"/>
      <c r="H18" s="73"/>
      <c r="I18" s="73"/>
      <c r="J18" s="73"/>
      <c r="K18" s="73"/>
    </row>
    <row r="19" spans="1:11" ht="15" customHeight="1" x14ac:dyDescent="0.25">
      <c r="A19" s="36" t="s">
        <v>38</v>
      </c>
      <c r="B19" s="36"/>
      <c r="C19" s="36"/>
      <c r="E19" s="36" t="s">
        <v>39</v>
      </c>
      <c r="F19" s="36"/>
      <c r="G19" s="36"/>
      <c r="I19" s="36" t="s">
        <v>70</v>
      </c>
      <c r="J19" s="36"/>
      <c r="K19" s="36"/>
    </row>
    <row r="20" spans="1:11" ht="15" customHeight="1" x14ac:dyDescent="0.25">
      <c r="A20" s="29" t="s">
        <v>23</v>
      </c>
      <c r="B20" s="79">
        <v>2012025</v>
      </c>
      <c r="C20" s="79"/>
      <c r="E20" s="29" t="s">
        <v>37</v>
      </c>
      <c r="F20" s="46"/>
      <c r="G20" s="47"/>
      <c r="I20" s="29" t="s">
        <v>1</v>
      </c>
      <c r="J20" s="50"/>
      <c r="K20" s="50"/>
    </row>
    <row r="21" spans="1:11" ht="15" customHeight="1" x14ac:dyDescent="0.25">
      <c r="A21" s="29" t="s">
        <v>53</v>
      </c>
      <c r="B21" s="16">
        <v>1830</v>
      </c>
      <c r="C21" s="17">
        <v>300</v>
      </c>
      <c r="E21" s="29" t="s">
        <v>53</v>
      </c>
      <c r="F21" s="14"/>
      <c r="G21" s="15"/>
      <c r="I21" s="29" t="s">
        <v>41</v>
      </c>
      <c r="J21" s="78"/>
      <c r="K21" s="78"/>
    </row>
    <row r="22" spans="1:11" ht="15" customHeight="1" x14ac:dyDescent="0.25">
      <c r="A22" s="29" t="s">
        <v>31</v>
      </c>
      <c r="B22" s="37">
        <v>22</v>
      </c>
      <c r="C22" s="37"/>
      <c r="D22" s="30"/>
      <c r="E22" s="29" t="s">
        <v>30</v>
      </c>
      <c r="F22" s="45"/>
      <c r="G22" s="45"/>
      <c r="H22" s="30"/>
      <c r="I22" s="29" t="s">
        <v>53</v>
      </c>
      <c r="J22" s="13"/>
      <c r="K22" s="18"/>
    </row>
    <row r="23" spans="1:11" ht="15" customHeight="1" x14ac:dyDescent="0.25">
      <c r="A23" s="29" t="s">
        <v>136</v>
      </c>
      <c r="B23" s="37">
        <v>276153</v>
      </c>
      <c r="C23" s="37"/>
      <c r="D23" s="30"/>
      <c r="E23" s="29" t="s">
        <v>135</v>
      </c>
      <c r="F23" s="45"/>
      <c r="G23" s="45"/>
      <c r="H23" s="30"/>
      <c r="I23" s="29" t="s">
        <v>42</v>
      </c>
      <c r="J23" s="77"/>
      <c r="K23" s="77"/>
    </row>
    <row r="24" spans="1:11" ht="15" customHeight="1" x14ac:dyDescent="0.25">
      <c r="A24" s="36" t="s">
        <v>35</v>
      </c>
      <c r="B24" s="36"/>
      <c r="C24" s="36"/>
      <c r="D24" s="30"/>
      <c r="E24" s="36" t="s">
        <v>36</v>
      </c>
      <c r="F24" s="36"/>
      <c r="G24" s="36"/>
      <c r="H24" s="30"/>
      <c r="I24" s="36" t="s">
        <v>71</v>
      </c>
      <c r="J24" s="36"/>
      <c r="K24" s="36"/>
    </row>
    <row r="25" spans="1:11" ht="15" customHeight="1" x14ac:dyDescent="0.25">
      <c r="A25" s="29" t="s">
        <v>32</v>
      </c>
      <c r="B25" s="43">
        <v>1107</v>
      </c>
      <c r="C25" s="43"/>
      <c r="D25" s="30"/>
      <c r="E25" s="29" t="s">
        <v>32</v>
      </c>
      <c r="F25" s="38"/>
      <c r="G25" s="38"/>
      <c r="H25" s="30"/>
      <c r="I25" s="29" t="s">
        <v>44</v>
      </c>
      <c r="J25" s="78"/>
      <c r="K25" s="78"/>
    </row>
    <row r="26" spans="1:11" ht="15" customHeight="1" x14ac:dyDescent="0.25">
      <c r="A26" s="29" t="s">
        <v>33</v>
      </c>
      <c r="B26" s="43"/>
      <c r="C26" s="43"/>
      <c r="D26" s="30"/>
      <c r="E26" s="29" t="s">
        <v>33</v>
      </c>
      <c r="F26" s="38"/>
      <c r="G26" s="38"/>
      <c r="H26" s="30"/>
      <c r="I26" s="29" t="s">
        <v>53</v>
      </c>
      <c r="J26" s="13"/>
      <c r="K26" s="18"/>
    </row>
    <row r="27" spans="1:11" ht="15" customHeight="1" x14ac:dyDescent="0.25">
      <c r="A27" s="29" t="s">
        <v>24</v>
      </c>
      <c r="B27" s="43">
        <v>401.75</v>
      </c>
      <c r="C27" s="43"/>
      <c r="D27" s="30"/>
      <c r="E27" s="29" t="s">
        <v>24</v>
      </c>
      <c r="F27" s="38"/>
      <c r="G27" s="38"/>
      <c r="H27" s="30"/>
      <c r="I27" s="29" t="s">
        <v>43</v>
      </c>
      <c r="J27" s="77"/>
      <c r="K27" s="77"/>
    </row>
    <row r="28" spans="1:11" ht="15" customHeight="1" x14ac:dyDescent="0.25">
      <c r="A28" s="29" t="s">
        <v>34</v>
      </c>
      <c r="B28" s="42">
        <v>3344.4</v>
      </c>
      <c r="C28" s="42"/>
      <c r="D28" s="30"/>
      <c r="E28" s="29" t="s">
        <v>34</v>
      </c>
      <c r="F28" s="38"/>
      <c r="G28" s="38"/>
      <c r="H28" s="30"/>
    </row>
    <row r="29" spans="1:11" ht="8.1" customHeight="1" x14ac:dyDescent="0.25">
      <c r="A29" s="73"/>
      <c r="B29" s="73"/>
      <c r="C29" s="73"/>
      <c r="D29" s="73"/>
      <c r="E29" s="73"/>
      <c r="F29" s="73"/>
      <c r="G29" s="73"/>
      <c r="H29" s="73"/>
      <c r="I29" s="73"/>
      <c r="J29" s="73"/>
      <c r="K29" s="73"/>
    </row>
    <row r="30" spans="1:11" ht="20.100000000000001" customHeight="1" x14ac:dyDescent="0.25">
      <c r="A30" s="74" t="s">
        <v>108</v>
      </c>
      <c r="B30" s="75"/>
      <c r="C30" s="75"/>
      <c r="D30" s="75"/>
      <c r="E30" s="75"/>
      <c r="F30" s="75"/>
      <c r="G30" s="75"/>
      <c r="H30" s="75"/>
      <c r="I30" s="75"/>
      <c r="J30" s="75"/>
      <c r="K30" s="76"/>
    </row>
    <row r="31" spans="1:11" ht="15" customHeight="1" x14ac:dyDescent="0.25">
      <c r="A31" s="31" t="s">
        <v>55</v>
      </c>
      <c r="B31" s="40">
        <f>IF(B22="","",IF(F22&lt;&gt;"","",B15-B22))</f>
        <v>1335</v>
      </c>
      <c r="C31" s="40"/>
      <c r="E31" s="31" t="s">
        <v>56</v>
      </c>
      <c r="F31" s="51">
        <f>IF(B32="",DATA!V3,"")</f>
        <v>91.5</v>
      </c>
      <c r="G31" s="51"/>
      <c r="I31" s="31" t="s">
        <v>57</v>
      </c>
      <c r="J31" s="48">
        <f>IFERROR(ROUND(B31/F31,1),"")</f>
        <v>14.6</v>
      </c>
      <c r="K31" s="48"/>
    </row>
    <row r="32" spans="1:11" ht="15" customHeight="1" x14ac:dyDescent="0.25">
      <c r="A32" s="32" t="s">
        <v>58</v>
      </c>
      <c r="B32" s="41" t="str">
        <f>IF(F22="","",F22-B22)</f>
        <v/>
      </c>
      <c r="C32" s="41"/>
      <c r="E32" s="32" t="s">
        <v>150</v>
      </c>
      <c r="F32" s="52" t="str">
        <f>IF(B32="","",DATA!V4)</f>
        <v/>
      </c>
      <c r="G32" s="52"/>
      <c r="I32" s="32" t="s">
        <v>59</v>
      </c>
      <c r="J32" s="49" t="str">
        <f>IFERROR(ROUND(B32/F32,1),"")</f>
        <v/>
      </c>
      <c r="K32" s="49"/>
    </row>
    <row r="33" spans="1:11" ht="15" customHeight="1" x14ac:dyDescent="0.25">
      <c r="A33" s="32" t="s">
        <v>144</v>
      </c>
      <c r="B33" s="39">
        <f>IF(DATA!AB3&lt;&gt;"",DATA!AB3,DATA!AB4)</f>
        <v>0</v>
      </c>
      <c r="C33" s="39"/>
      <c r="E33" s="32" t="s">
        <v>145</v>
      </c>
      <c r="F33" s="39">
        <f>IF(DATA!AC3&lt;&gt;"",DATA!AC3,DATA!AC4)</f>
        <v>6.9399999999999977</v>
      </c>
      <c r="G33" s="39"/>
      <c r="I33" s="32" t="s">
        <v>146</v>
      </c>
      <c r="J33" s="44">
        <f>IF(DATA!AD3&lt;&gt;"",DATA!AD3,DATA!AD4)</f>
        <v>355.80000000000018</v>
      </c>
      <c r="K33" s="44"/>
    </row>
  </sheetData>
  <sheetProtection algorithmName="SHA-512" hashValue="jkrCBNDkB0mcXxfUKNO8BrGrTP8HsHVNUCTkBp6pw0VNmYbKp5WpVhxUai8IOwYXk+D8yxfDOxWVPF2x9Myn7Q==" saltValue="n/S5U7IARRRLv9Tx2k2YzQ==" spinCount="100000" sheet="1" objects="1" scenarios="1" selectLockedCells="1"/>
  <mergeCells count="74">
    <mergeCell ref="A1:K1"/>
    <mergeCell ref="A30:K30"/>
    <mergeCell ref="A29:K29"/>
    <mergeCell ref="J2:K2"/>
    <mergeCell ref="A18:K18"/>
    <mergeCell ref="J23:K23"/>
    <mergeCell ref="I24:K24"/>
    <mergeCell ref="J25:K25"/>
    <mergeCell ref="B23:C23"/>
    <mergeCell ref="B20:C20"/>
    <mergeCell ref="B17:C17"/>
    <mergeCell ref="A19:C19"/>
    <mergeCell ref="F23:G23"/>
    <mergeCell ref="J27:K27"/>
    <mergeCell ref="J21:K21"/>
    <mergeCell ref="F2:G2"/>
    <mergeCell ref="J14:K14"/>
    <mergeCell ref="I10:K10"/>
    <mergeCell ref="J11:K11"/>
    <mergeCell ref="A3:K3"/>
    <mergeCell ref="I4:K4"/>
    <mergeCell ref="J8:K8"/>
    <mergeCell ref="J7:K7"/>
    <mergeCell ref="J6:K6"/>
    <mergeCell ref="J5:K5"/>
    <mergeCell ref="F6:G6"/>
    <mergeCell ref="F5:G5"/>
    <mergeCell ref="J12:K12"/>
    <mergeCell ref="J13:K13"/>
    <mergeCell ref="J9:K9"/>
    <mergeCell ref="A2:C2"/>
    <mergeCell ref="B8:C8"/>
    <mergeCell ref="B7:C7"/>
    <mergeCell ref="B6:C6"/>
    <mergeCell ref="B9:C9"/>
    <mergeCell ref="A4:C4"/>
    <mergeCell ref="J16:K16"/>
    <mergeCell ref="I15:K15"/>
    <mergeCell ref="I19:K19"/>
    <mergeCell ref="F26:G26"/>
    <mergeCell ref="F25:G25"/>
    <mergeCell ref="E24:G24"/>
    <mergeCell ref="E19:G19"/>
    <mergeCell ref="B16:C16"/>
    <mergeCell ref="B15:C15"/>
    <mergeCell ref="B14:C14"/>
    <mergeCell ref="E4:G4"/>
    <mergeCell ref="B5:C5"/>
    <mergeCell ref="F7:G7"/>
    <mergeCell ref="E8:G8"/>
    <mergeCell ref="B13:C13"/>
    <mergeCell ref="B12:C12"/>
    <mergeCell ref="B11:C11"/>
    <mergeCell ref="E13:G13"/>
    <mergeCell ref="J33:K33"/>
    <mergeCell ref="F22:G22"/>
    <mergeCell ref="F20:G20"/>
    <mergeCell ref="J31:K31"/>
    <mergeCell ref="J32:K32"/>
    <mergeCell ref="J20:K20"/>
    <mergeCell ref="F31:G31"/>
    <mergeCell ref="F32:G32"/>
    <mergeCell ref="A24:C24"/>
    <mergeCell ref="B22:C22"/>
    <mergeCell ref="F28:G28"/>
    <mergeCell ref="F27:G27"/>
    <mergeCell ref="B33:C33"/>
    <mergeCell ref="F33:G33"/>
    <mergeCell ref="B31:C31"/>
    <mergeCell ref="B32:C32"/>
    <mergeCell ref="B28:C28"/>
    <mergeCell ref="B27:C27"/>
    <mergeCell ref="B26:C26"/>
    <mergeCell ref="B25:C25"/>
  </mergeCells>
  <dataValidations count="1">
    <dataValidation type="textLength" operator="equal" allowBlank="1" showInputMessage="1" showErrorMessage="1" sqref="B8:C8 J20:K20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Narrow,Gras"&amp;8NOON REPORT&amp;C&amp;"Arial Narrow,Gras"&amp;8Rev.0.2 - 11/12/2023&amp;R&amp;"Arial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DATA!$F$1:$F$8</xm:f>
          </x14:formula1>
          <xm:sqref>B5:C5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J23" sqref="J23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25">
        <v>101</v>
      </c>
      <c r="B1" s="25" t="s">
        <v>8</v>
      </c>
      <c r="C1" s="25" t="s">
        <v>111</v>
      </c>
      <c r="D1" s="26">
        <v>7.9180000000000001</v>
      </c>
      <c r="E1" s="27">
        <v>80920</v>
      </c>
      <c r="F1" s="7" t="s">
        <v>26</v>
      </c>
      <c r="I1" s="19" t="s">
        <v>151</v>
      </c>
      <c r="J1" s="19" t="s">
        <v>63</v>
      </c>
      <c r="K1" s="19" t="s">
        <v>64</v>
      </c>
      <c r="L1" s="19" t="s">
        <v>65</v>
      </c>
      <c r="M1" s="19" t="s">
        <v>66</v>
      </c>
      <c r="N1" s="19" t="s">
        <v>64</v>
      </c>
      <c r="O1" s="81" t="s">
        <v>67</v>
      </c>
      <c r="P1" s="81"/>
      <c r="Q1" s="81"/>
      <c r="R1" s="19" t="s">
        <v>153</v>
      </c>
      <c r="S1" s="24" t="s">
        <v>155</v>
      </c>
      <c r="T1" s="1" t="s">
        <v>154</v>
      </c>
      <c r="U1" s="19" t="s">
        <v>68</v>
      </c>
      <c r="V1" s="81" t="s">
        <v>80</v>
      </c>
      <c r="W1" s="81"/>
      <c r="X1" s="1" t="s">
        <v>141</v>
      </c>
      <c r="Y1" s="1" t="s">
        <v>142</v>
      </c>
      <c r="Z1" s="1" t="s">
        <v>24</v>
      </c>
      <c r="AA1" s="1" t="s">
        <v>143</v>
      </c>
      <c r="AB1" s="1" t="s">
        <v>147</v>
      </c>
      <c r="AC1" s="1" t="s">
        <v>148</v>
      </c>
      <c r="AD1" s="1" t="s">
        <v>149</v>
      </c>
    </row>
    <row r="2" spans="1:30" x14ac:dyDescent="0.25">
      <c r="A2" s="25">
        <v>201</v>
      </c>
      <c r="B2" s="25" t="s">
        <v>9</v>
      </c>
      <c r="C2" s="25" t="s">
        <v>111</v>
      </c>
      <c r="D2" s="26">
        <v>5.91</v>
      </c>
      <c r="E2" s="27">
        <v>39520</v>
      </c>
      <c r="F2" s="7" t="s">
        <v>87</v>
      </c>
      <c r="I2" s="2" t="s">
        <v>60</v>
      </c>
      <c r="J2" s="3" t="str">
        <f>IF(LEN(NOON!B9)=8,IFERROR(LEFT(NOON!B9,2),""),IFERROR(LEFT(NOON!B9,1),""))</f>
        <v>6</v>
      </c>
      <c r="K2" s="3" t="str">
        <f>IF(LEN(NOON!B9)=8,IFERROR(MID(NOON!B9,3,2),""),IFERROR(MID(NOON!B9,2,2),""))</f>
        <v>01</v>
      </c>
      <c r="L2" s="4" t="str">
        <f>IFERROR(RIGHT(NOON!B9,4),"")</f>
        <v>2025</v>
      </c>
      <c r="M2" s="3" t="str">
        <f>IFERROR(IF(LEN(NOON!B10)=3,LEFT(NOON!B10,1),IF(LEN(NOON!B10)=4,LEFT(NOON!B10,2),"")),"")</f>
        <v>12</v>
      </c>
      <c r="N2" s="3" t="str">
        <f>IFERROR(RIGHT(NOON!B10,2),"")</f>
        <v>00</v>
      </c>
      <c r="O2" s="3" t="str">
        <f>IFERROR(IF(LEN(NOON!C10)=3,LEFT(NOON!C10,1),IF(LEN(NOON!C10)=4,LEFT(NOON!C10,2),"")),"")</f>
        <v>1</v>
      </c>
      <c r="P2" s="3" t="str">
        <f>IFERROR(RIGHT(NOON!C10,2),"")</f>
        <v>00</v>
      </c>
      <c r="Q2" s="33">
        <f>IFERROR(S2*SIGN(O2),"")</f>
        <v>4.1666666666666664E-2</v>
      </c>
      <c r="R2" s="5">
        <f>IFERROR(TIME(M2,N2,0),"")</f>
        <v>0.5</v>
      </c>
      <c r="S2" s="5">
        <f>IFERROR(TIME(ABS(O2),ABS(P2),0),"")</f>
        <v>4.1666666666666664E-2</v>
      </c>
      <c r="T2" s="6">
        <f t="shared" ref="T2:T7" si="0">IFERROR(DATE(L2,K2,J2)+R2,"")</f>
        <v>45663.5</v>
      </c>
      <c r="U2" s="34">
        <f>IFERROR(T2-Q2,"")</f>
        <v>45663.458333333336</v>
      </c>
      <c r="W2" s="2"/>
      <c r="X2" s="28">
        <f>IFERROR(NOON!J5,"")</f>
        <v>1107</v>
      </c>
      <c r="Y2" s="28">
        <f>IFERROR(NOON!J6,"")</f>
        <v>0</v>
      </c>
      <c r="Z2" s="28">
        <f>IFERROR(NOON!J7,"")</f>
        <v>394.81</v>
      </c>
      <c r="AA2" s="28">
        <f>IFERROR(NOON!J8,"")</f>
        <v>2988.6</v>
      </c>
      <c r="AB2" s="28"/>
      <c r="AC2" s="28"/>
      <c r="AD2" s="28"/>
    </row>
    <row r="3" spans="1:30" x14ac:dyDescent="0.25">
      <c r="A3" s="25">
        <v>202</v>
      </c>
      <c r="B3" s="25" t="s">
        <v>11</v>
      </c>
      <c r="C3" s="25" t="s">
        <v>111</v>
      </c>
      <c r="D3" s="26">
        <v>5.91</v>
      </c>
      <c r="E3" s="27">
        <v>39483</v>
      </c>
      <c r="F3" s="7" t="s">
        <v>27</v>
      </c>
      <c r="I3" s="2" t="s">
        <v>61</v>
      </c>
      <c r="J3" s="3" t="str">
        <f>IF(LEN(NOON!B20)=8,IFERROR(LEFT(NOON!B20,2),""),IFERROR(LEFT(NOON!B20,1),""))</f>
        <v>2</v>
      </c>
      <c r="K3" s="3" t="str">
        <f>IF(LEN(NOON!B20)=8,IFERROR(MID(NOON!B20,3,2),""),IFERROR(MID(NOON!B20,2,2),""))</f>
        <v>01</v>
      </c>
      <c r="L3" s="4" t="str">
        <f>IFERROR(RIGHT(NOON!B20,4),"")</f>
        <v>2025</v>
      </c>
      <c r="M3" s="3" t="str">
        <f>IFERROR(IF(LEN(NOON!B21)=3,LEFT(NOON!B21,1),IF(LEN(NOON!B21)=4,LEFT(NOON!B21,2),"")),"")</f>
        <v>18</v>
      </c>
      <c r="N3" s="3" t="str">
        <f>IFERROR(RIGHT(NOON!B21,2),"")</f>
        <v>30</v>
      </c>
      <c r="O3" s="3" t="str">
        <f>IFERROR(IF(LEN(NOON!C21)=3,LEFT(NOON!C21,1),IF(LEN(NOON!C21)=4,LEFT(NOON!C21,2),"")),"")</f>
        <v>3</v>
      </c>
      <c r="P3" s="3" t="str">
        <f>IFERROR(RIGHT(NOON!C21,2),"")</f>
        <v>00</v>
      </c>
      <c r="Q3" s="33">
        <f t="shared" ref="Q3:Q7" si="1">IFERROR(S3*SIGN(O3),"")</f>
        <v>0.125</v>
      </c>
      <c r="R3" s="5">
        <f>IFERROR(TIME(M3,N3,0),"")</f>
        <v>0.77083333333333337</v>
      </c>
      <c r="S3" s="5">
        <f t="shared" ref="S3:S7" si="2">IFERROR(TIME(ABS(O3),ABS(P3),0),"")</f>
        <v>0.125</v>
      </c>
      <c r="T3" s="6">
        <f t="shared" si="0"/>
        <v>45659.770833333336</v>
      </c>
      <c r="U3" s="34">
        <f t="shared" ref="U3:U7" si="3">IFERROR(T3-Q3,"")</f>
        <v>45659.645833333336</v>
      </c>
      <c r="V3" s="8">
        <f>IFERROR(((24*(U2-U3))),"")</f>
        <v>91.5</v>
      </c>
      <c r="W3" s="2" t="s">
        <v>81</v>
      </c>
      <c r="X3" s="28">
        <f>IFERROR(NOON!B25,"")</f>
        <v>1107</v>
      </c>
      <c r="Y3" s="28">
        <f>IFERROR(NOON!B26,"")</f>
        <v>0</v>
      </c>
      <c r="Z3" s="28">
        <f>IFERROR(NOON!B27,"")</f>
        <v>401.75</v>
      </c>
      <c r="AA3" s="28">
        <f>IFERROR(NOON!B28,"")</f>
        <v>3344.4</v>
      </c>
      <c r="AB3" s="28">
        <f>IF($U$3="","",IF($U$4="",(X3+Y3)-(X2+Y2),""))</f>
        <v>0</v>
      </c>
      <c r="AC3" s="28">
        <f>IF($U$3="","",IF($U$4="",Z3-Z2,""))</f>
        <v>6.9399999999999977</v>
      </c>
      <c r="AD3" s="28">
        <f>IF($U$3="","",IF($U$4="",AA3-AA2,""))</f>
        <v>355.80000000000018</v>
      </c>
    </row>
    <row r="4" spans="1:30" x14ac:dyDescent="0.25">
      <c r="A4" s="25">
        <v>301</v>
      </c>
      <c r="B4" s="25" t="s">
        <v>10</v>
      </c>
      <c r="C4" s="25" t="s">
        <v>112</v>
      </c>
      <c r="D4" s="26">
        <v>4.9000000000000004</v>
      </c>
      <c r="E4" s="27">
        <v>19392</v>
      </c>
      <c r="F4" s="7" t="s">
        <v>79</v>
      </c>
      <c r="I4" s="2" t="s">
        <v>62</v>
      </c>
      <c r="J4" s="3" t="str">
        <f>IF(LEN(NOON!F20)=8,IFERROR(LEFT(NOON!F20,2),""),IFERROR(LEFT(NOON!F20,1),""))</f>
        <v/>
      </c>
      <c r="K4" s="3" t="str">
        <f>IF(LEN(NOON!F20)=8,IFERROR(MID(NOON!F20,3,2),""),IFERROR(MID(NOON!F20,2,2),""))</f>
        <v/>
      </c>
      <c r="L4" s="4" t="str">
        <f>IFERROR(RIGHT(NOON!F20,4),"")</f>
        <v/>
      </c>
      <c r="M4" s="3" t="str">
        <f>IFERROR(IF(LEN(NOON!F21)=3,LEFT(NOON!F21,1),IF(LEN(NOON!F21)=4,LEFT(NOON!F21,2),"")),"")</f>
        <v/>
      </c>
      <c r="N4" s="3" t="str">
        <f>IFERROR(RIGHT(NOON!F21,2),"")</f>
        <v/>
      </c>
      <c r="O4" s="3" t="str">
        <f>IFERROR(IF(LEN(NOON!G21)=3,LEFT(NOON!G21,1),IF(LEN(NOON!G21)=4,LEFT(NOON!G21,2),"")),"")</f>
        <v/>
      </c>
      <c r="P4" s="3" t="str">
        <f>IFERROR(RIGHT(NOON!G21,2),"")</f>
        <v/>
      </c>
      <c r="Q4" s="33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34" t="str">
        <f t="shared" si="3"/>
        <v/>
      </c>
      <c r="V4" s="8" t="str">
        <f>IFERROR(((24*(U4-U3))),"")</f>
        <v/>
      </c>
      <c r="W4" s="2" t="s">
        <v>82</v>
      </c>
      <c r="X4" s="28">
        <f>IFERROR(NOON!F25,"")</f>
        <v>0</v>
      </c>
      <c r="Y4" s="28">
        <f>IFERROR(NOON!F26,"")</f>
        <v>0</v>
      </c>
      <c r="Z4" s="28">
        <f>IFERROR(NOON!F27,"")</f>
        <v>0</v>
      </c>
      <c r="AA4" s="28">
        <f>IFERROR(NOON!F28,"")</f>
        <v>0</v>
      </c>
      <c r="AB4" s="28" t="str">
        <f>IF($U$4&lt;&gt;"",(X3+Y3)-(X4+Y4),"")</f>
        <v/>
      </c>
      <c r="AC4" s="28" t="str">
        <f>IF($U$4&lt;&gt;"",Z3-Z4,"")</f>
        <v/>
      </c>
      <c r="AD4" s="28" t="str">
        <f>IF($U$4&lt;&gt;"",AA3-AA4,"")</f>
        <v/>
      </c>
    </row>
    <row r="5" spans="1:30" x14ac:dyDescent="0.25">
      <c r="A5" s="25">
        <v>302</v>
      </c>
      <c r="B5" s="25" t="s">
        <v>12</v>
      </c>
      <c r="C5" s="25" t="s">
        <v>112</v>
      </c>
      <c r="D5" s="26">
        <v>4.9000000000000004</v>
      </c>
      <c r="E5" s="27">
        <v>19277</v>
      </c>
      <c r="F5" s="7" t="s">
        <v>92</v>
      </c>
      <c r="I5" s="2" t="s">
        <v>83</v>
      </c>
      <c r="J5" s="3" t="str">
        <f>IF(LEN(NOON!J21)=8,IFERROR(LEFT(NOON!J21,2),""),IFERROR(LEFT(NOON!J21,1),""))</f>
        <v/>
      </c>
      <c r="K5" s="3" t="str">
        <f>IF(LEN(NOON!J21)=8,IFERROR(MID(NOON!J21,3,2),""),IFERROR(MID(NOON!J21,2,2),""))</f>
        <v/>
      </c>
      <c r="L5" s="4" t="str">
        <f>IFERROR(RIGHT(NOON!J21,4),"")</f>
        <v/>
      </c>
      <c r="M5" s="3" t="str">
        <f>IFERROR(IF(LEN(NOON!J22)=3,LEFT(NOON!J22,1),IF(LEN(NOON!J22)=4,LEFT(NOON!J22,2),"")),"")</f>
        <v/>
      </c>
      <c r="N5" s="3" t="str">
        <f>IFERROR(RIGHT(NOON!J22,2),"")</f>
        <v/>
      </c>
      <c r="O5" s="3" t="str">
        <f>IFERROR(IF(LEN(NOON!K22)=3,LEFT(NOON!K22,1),IF(LEN(NOON!K22)=4,LEFT(NOON!K22,2),"")),"")</f>
        <v/>
      </c>
      <c r="P5" s="3" t="str">
        <f>IFERROR(RIGHT(NOON!K22,2),"")</f>
        <v/>
      </c>
      <c r="Q5" s="33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34" t="str">
        <f t="shared" si="3"/>
        <v/>
      </c>
      <c r="V5" s="8"/>
      <c r="W5" s="2"/>
      <c r="X5" s="28"/>
      <c r="Y5" s="28"/>
      <c r="Z5" s="28"/>
      <c r="AA5" s="28"/>
    </row>
    <row r="6" spans="1:30" x14ac:dyDescent="0.25">
      <c r="A6" s="7">
        <v>303</v>
      </c>
      <c r="B6" s="7" t="s">
        <v>21</v>
      </c>
      <c r="C6" s="7" t="s">
        <v>113</v>
      </c>
      <c r="D6" s="26">
        <v>4.6425599999999996</v>
      </c>
      <c r="E6" s="27">
        <v>39971</v>
      </c>
      <c r="F6" s="7" t="s">
        <v>156</v>
      </c>
      <c r="I6" s="2" t="s">
        <v>84</v>
      </c>
      <c r="J6" s="3" t="str">
        <f>IF(LEN(NOON!J25)=8,IFERROR(LEFT(NOON!J25,2),""),IFERROR(LEFT(NOON!J25,1),""))</f>
        <v/>
      </c>
      <c r="K6" s="3" t="str">
        <f>IF(LEN(NOON!J25)=8,IFERROR(MID(NOON!J25,3,2),""),IFERROR(MID(NOON!J25,2,2),""))</f>
        <v/>
      </c>
      <c r="L6" s="4" t="str">
        <f>IFERROR(RIGHT(NOON!J25,4),"")</f>
        <v/>
      </c>
      <c r="M6" s="3" t="str">
        <f>IFERROR(IF(LEN(NOON!J26)=3,LEFT(NOON!J26,1),IF(LEN(NOON!J26)=4,LEFT(NOON!J26,2),"")),"")</f>
        <v/>
      </c>
      <c r="N6" s="3" t="str">
        <f>IFERROR(RIGHT(NOON!J26,2),"")</f>
        <v/>
      </c>
      <c r="O6" s="3" t="str">
        <f>IFERROR(IF(LEN(NOON!K26)=3,LEFT(NOON!K26,1),IF(LEN(NOON!K26)=4,LEFT(NOON!K26,2),"")),"")</f>
        <v/>
      </c>
      <c r="P6" s="3" t="str">
        <f>IFERROR(RIGHT(NOON!K26,2),"")</f>
        <v/>
      </c>
      <c r="Q6" s="33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34" t="str">
        <f t="shared" si="3"/>
        <v/>
      </c>
      <c r="V6" s="8" t="str">
        <f>IFERROR(((24*(U6-U5))),"")</f>
        <v/>
      </c>
      <c r="W6" s="2" t="s">
        <v>85</v>
      </c>
      <c r="X6" s="28"/>
      <c r="Y6" s="28"/>
      <c r="Z6" s="28"/>
      <c r="AA6" s="28"/>
    </row>
    <row r="7" spans="1:30" x14ac:dyDescent="0.25">
      <c r="A7" s="25">
        <v>401</v>
      </c>
      <c r="B7" s="25" t="s">
        <v>13</v>
      </c>
      <c r="C7" s="25" t="s">
        <v>113</v>
      </c>
      <c r="D7" s="26"/>
      <c r="E7" s="27">
        <v>4999</v>
      </c>
      <c r="F7" s="7" t="s">
        <v>93</v>
      </c>
      <c r="I7" s="2" t="s">
        <v>86</v>
      </c>
      <c r="J7" s="3" t="str">
        <f>IF(LEN(NOON!J16)=8,IFERROR(LEFT(NOON!J16,2),""),IFERROR(LEFT(NOON!J16,1),""))</f>
        <v>7</v>
      </c>
      <c r="K7" s="3" t="str">
        <f>IF(LEN(NOON!J16)=8,IFERROR(MID(NOON!J16,3,2),""),IFERROR(MID(NOON!J16,2,2),""))</f>
        <v>01</v>
      </c>
      <c r="L7" s="4" t="str">
        <f>IFERROR(RIGHT(NOON!J16,4),"")</f>
        <v>2025</v>
      </c>
      <c r="M7" s="3" t="str">
        <f>IFERROR(IF(LEN(NOON!J17)=3,LEFT(NOON!J17,1),IF(LEN(NOON!J17)=4,LEFT(NOON!J17,2),"")),"")</f>
        <v>7</v>
      </c>
      <c r="N7" s="3" t="str">
        <f>IFERROR(RIGHT(NOON!J17,2),"")</f>
        <v>00</v>
      </c>
      <c r="O7" s="3" t="str">
        <f>IFERROR(IF(LEN(NOON!K17)=3,LEFT(NOON!K17,1),IF(LEN(NOON!K17)=4,LEFT(NOON!K17,2),"")),"")</f>
        <v>1</v>
      </c>
      <c r="P7" s="3" t="str">
        <f>IFERROR(RIGHT(NOON!K17,2),"")</f>
        <v>00</v>
      </c>
      <c r="Q7" s="33">
        <f t="shared" si="1"/>
        <v>4.1666666666666664E-2</v>
      </c>
      <c r="R7" s="5">
        <f t="shared" si="4"/>
        <v>0.29166666666666669</v>
      </c>
      <c r="S7" s="5">
        <f t="shared" si="2"/>
        <v>4.1666666666666664E-2</v>
      </c>
      <c r="T7" s="6">
        <f t="shared" si="0"/>
        <v>45664.291666666664</v>
      </c>
      <c r="U7" s="34">
        <f t="shared" si="3"/>
        <v>45664.25</v>
      </c>
      <c r="V7" s="8"/>
      <c r="W7" s="2"/>
      <c r="X7" s="28"/>
      <c r="Y7" s="28"/>
      <c r="Z7" s="28"/>
      <c r="AA7" s="28"/>
    </row>
    <row r="8" spans="1:30" x14ac:dyDescent="0.25">
      <c r="A8" s="25">
        <v>402</v>
      </c>
      <c r="B8" s="25" t="s">
        <v>14</v>
      </c>
      <c r="C8" s="25" t="s">
        <v>113</v>
      </c>
      <c r="D8" s="26"/>
      <c r="E8" s="27">
        <v>4999</v>
      </c>
      <c r="F8" s="7" t="s">
        <v>94</v>
      </c>
    </row>
    <row r="9" spans="1:30" x14ac:dyDescent="0.25">
      <c r="A9" s="25">
        <v>453</v>
      </c>
      <c r="B9" s="25" t="s">
        <v>17</v>
      </c>
      <c r="C9" s="25" t="s">
        <v>111</v>
      </c>
      <c r="D9" s="26">
        <v>8.8188800000000001</v>
      </c>
      <c r="E9" s="27">
        <v>94575</v>
      </c>
    </row>
    <row r="10" spans="1:30" x14ac:dyDescent="0.25">
      <c r="A10" s="25">
        <v>454</v>
      </c>
      <c r="B10" s="25" t="s">
        <v>18</v>
      </c>
      <c r="C10" s="25" t="s">
        <v>111</v>
      </c>
      <c r="D10" s="26">
        <v>8.8188800000000001</v>
      </c>
      <c r="E10" s="27">
        <v>94575</v>
      </c>
      <c r="F10" s="7" t="s">
        <v>89</v>
      </c>
    </row>
    <row r="11" spans="1:30" x14ac:dyDescent="0.25">
      <c r="A11" s="25">
        <v>503</v>
      </c>
      <c r="B11" s="25" t="s">
        <v>19</v>
      </c>
      <c r="C11" s="25" t="s">
        <v>112</v>
      </c>
      <c r="D11" s="26">
        <v>3.7370000000000001</v>
      </c>
      <c r="E11" s="27">
        <v>9612</v>
      </c>
      <c r="F11" s="7" t="s">
        <v>110</v>
      </c>
    </row>
    <row r="12" spans="1:30" x14ac:dyDescent="0.25">
      <c r="A12" s="25">
        <v>504</v>
      </c>
      <c r="B12" s="25" t="s">
        <v>20</v>
      </c>
      <c r="C12" s="25" t="s">
        <v>112</v>
      </c>
      <c r="D12" s="26">
        <v>3.7370000000000001</v>
      </c>
      <c r="E12" s="27">
        <v>9670</v>
      </c>
      <c r="F12" s="7" t="s">
        <v>109</v>
      </c>
    </row>
    <row r="13" spans="1:30" x14ac:dyDescent="0.25">
      <c r="A13" s="25">
        <v>801</v>
      </c>
      <c r="B13" s="25" t="s">
        <v>15</v>
      </c>
      <c r="C13" s="25" t="s">
        <v>112</v>
      </c>
      <c r="D13" s="26">
        <v>4.4650800000000004</v>
      </c>
      <c r="E13" s="27">
        <v>26353</v>
      </c>
      <c r="F13" s="7" t="s">
        <v>91</v>
      </c>
    </row>
    <row r="14" spans="1:30" x14ac:dyDescent="0.25">
      <c r="A14" s="25">
        <v>802</v>
      </c>
      <c r="B14" s="25" t="s">
        <v>16</v>
      </c>
      <c r="C14" s="25" t="s">
        <v>112</v>
      </c>
      <c r="D14" s="26">
        <v>4.4650800000000004</v>
      </c>
      <c r="E14" s="27">
        <v>26375</v>
      </c>
      <c r="F14" s="7" t="s">
        <v>88</v>
      </c>
    </row>
    <row r="15" spans="1:30" x14ac:dyDescent="0.25">
      <c r="F15" s="7" t="s">
        <v>90</v>
      </c>
    </row>
    <row r="17" spans="2:30" x14ac:dyDescent="0.25">
      <c r="F17" s="7" t="s">
        <v>95</v>
      </c>
      <c r="I17" s="24"/>
      <c r="J17" s="24"/>
      <c r="K17" s="24"/>
      <c r="L17" s="24"/>
      <c r="M17" s="24"/>
      <c r="N17" s="24"/>
      <c r="O17" s="81"/>
      <c r="P17" s="81"/>
      <c r="Q17" s="24"/>
      <c r="R17" s="1"/>
      <c r="S17" s="24"/>
      <c r="T17" s="81"/>
      <c r="U17" s="81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96</v>
      </c>
      <c r="I18" s="24" t="s">
        <v>152</v>
      </c>
      <c r="J18" s="24" t="s">
        <v>63</v>
      </c>
      <c r="K18" s="24" t="s">
        <v>64</v>
      </c>
      <c r="L18" s="24" t="s">
        <v>65</v>
      </c>
      <c r="M18" s="24" t="s">
        <v>66</v>
      </c>
      <c r="N18" s="24" t="s">
        <v>64</v>
      </c>
      <c r="O18" s="81" t="s">
        <v>67</v>
      </c>
      <c r="P18" s="81"/>
      <c r="Q18" s="81"/>
      <c r="R18" s="24" t="s">
        <v>153</v>
      </c>
      <c r="S18" s="24" t="s">
        <v>155</v>
      </c>
      <c r="T18" s="1" t="s">
        <v>154</v>
      </c>
      <c r="U18" s="24" t="s">
        <v>68</v>
      </c>
      <c r="V18" s="81" t="s">
        <v>80</v>
      </c>
      <c r="W18" s="81"/>
      <c r="X18" s="1" t="s">
        <v>141</v>
      </c>
      <c r="Y18" s="1" t="s">
        <v>142</v>
      </c>
      <c r="Z18" s="1" t="s">
        <v>24</v>
      </c>
      <c r="AA18" s="1" t="s">
        <v>143</v>
      </c>
      <c r="AB18" s="1" t="s">
        <v>147</v>
      </c>
      <c r="AC18" s="1" t="s">
        <v>148</v>
      </c>
      <c r="AD18" s="1" t="s">
        <v>149</v>
      </c>
    </row>
    <row r="19" spans="2:30" x14ac:dyDescent="0.25">
      <c r="B19" s="7" t="s">
        <v>122</v>
      </c>
      <c r="C19" s="7" t="s">
        <v>122</v>
      </c>
      <c r="F19" s="7" t="s">
        <v>97</v>
      </c>
      <c r="I19" s="2"/>
      <c r="J19" s="3"/>
      <c r="K19" s="3"/>
      <c r="L19" s="4"/>
      <c r="M19" s="3"/>
      <c r="N19" s="3"/>
      <c r="O19" s="3"/>
      <c r="P19" s="3"/>
      <c r="Q19" s="33"/>
      <c r="R19" s="5"/>
      <c r="S19" s="5"/>
      <c r="T19" s="6"/>
      <c r="U19" s="34"/>
      <c r="W19" s="2"/>
      <c r="X19" s="28"/>
      <c r="Y19" s="28"/>
      <c r="Z19" s="28"/>
      <c r="AA19" s="28"/>
      <c r="AB19" s="28"/>
      <c r="AC19" s="28"/>
      <c r="AD19" s="28"/>
    </row>
    <row r="20" spans="2:30" x14ac:dyDescent="0.25">
      <c r="B20" s="7" t="s">
        <v>121</v>
      </c>
      <c r="C20" s="7" t="s">
        <v>126</v>
      </c>
      <c r="I20" s="2" t="s">
        <v>61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33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34" t="str">
        <f t="shared" ref="U20:U23" si="6">IFERROR(T20-Q20,"")</f>
        <v/>
      </c>
      <c r="V20" s="8"/>
      <c r="W20" s="2" t="s">
        <v>81</v>
      </c>
      <c r="X20" s="28" t="str">
        <f>IFERROR(#REF!,"")</f>
        <v/>
      </c>
      <c r="Y20" s="28" t="str">
        <f>IFERROR(#REF!,"")</f>
        <v/>
      </c>
      <c r="Z20" s="28" t="str">
        <f>IFERROR(#REF!,"")</f>
        <v/>
      </c>
      <c r="AA20" s="28" t="str">
        <f>IFERROR(#REF!,"")</f>
        <v/>
      </c>
      <c r="AB20" s="28"/>
      <c r="AC20" s="28"/>
      <c r="AD20" s="28"/>
    </row>
    <row r="21" spans="2:30" x14ac:dyDescent="0.25">
      <c r="B21" s="7" t="s">
        <v>134</v>
      </c>
      <c r="C21" s="7" t="s">
        <v>129</v>
      </c>
      <c r="I21" s="2" t="s">
        <v>62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33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34" t="str">
        <f t="shared" si="6"/>
        <v/>
      </c>
      <c r="V21" s="8" t="str">
        <f>IFERROR(((24*(U21-U20))),"")</f>
        <v/>
      </c>
      <c r="W21" s="2" t="s">
        <v>82</v>
      </c>
      <c r="X21" s="28" t="str">
        <f>IFERROR(#REF!,"")</f>
        <v/>
      </c>
      <c r="Y21" s="28" t="str">
        <f>IFERROR(#REF!,"")</f>
        <v/>
      </c>
      <c r="Z21" s="28" t="str">
        <f>IFERROR(#REF!,"")</f>
        <v/>
      </c>
      <c r="AA21" s="28" t="str">
        <f>IFERROR(#REF!,"")</f>
        <v/>
      </c>
      <c r="AB21" s="28" t="str">
        <f>IF($U$21&lt;&gt;"",(X20+Y20)-(X21+Y21),"")</f>
        <v/>
      </c>
      <c r="AC21" s="28" t="str">
        <f>IF($U$21&lt;&gt;"",Z20-Z21,"")</f>
        <v/>
      </c>
      <c r="AD21" s="28" t="str">
        <f>IF($U$21&lt;&gt;"",AA20-AA21,"")</f>
        <v/>
      </c>
    </row>
    <row r="22" spans="2:30" x14ac:dyDescent="0.25">
      <c r="B22" s="7" t="s">
        <v>119</v>
      </c>
      <c r="C22" s="7" t="s">
        <v>131</v>
      </c>
      <c r="F22" s="7" t="s">
        <v>106</v>
      </c>
      <c r="I22" s="2" t="s">
        <v>83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33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34" t="str">
        <f t="shared" si="6"/>
        <v/>
      </c>
      <c r="V22" s="8"/>
      <c r="W22" s="2"/>
      <c r="X22" s="28"/>
      <c r="Y22" s="28"/>
      <c r="Z22" s="28"/>
      <c r="AA22" s="28"/>
    </row>
    <row r="23" spans="2:30" x14ac:dyDescent="0.25">
      <c r="B23" s="7" t="s">
        <v>116</v>
      </c>
      <c r="C23" s="7" t="s">
        <v>130</v>
      </c>
      <c r="F23" s="7" t="s">
        <v>103</v>
      </c>
      <c r="I23" s="2" t="s">
        <v>84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33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34" t="str">
        <f t="shared" si="6"/>
        <v/>
      </c>
      <c r="V23" s="8" t="str">
        <f>IFERROR(((24*(U23-U22))),"")</f>
        <v/>
      </c>
      <c r="W23" s="2" t="s">
        <v>85</v>
      </c>
      <c r="X23" s="28"/>
      <c r="Y23" s="28"/>
      <c r="Z23" s="28"/>
      <c r="AA23" s="28"/>
    </row>
    <row r="24" spans="2:30" x14ac:dyDescent="0.25">
      <c r="B24" s="7" t="s">
        <v>133</v>
      </c>
      <c r="C24" s="7" t="s">
        <v>128</v>
      </c>
      <c r="F24" s="7" t="s">
        <v>98</v>
      </c>
      <c r="I24" s="2"/>
      <c r="J24" s="3"/>
      <c r="K24" s="3"/>
      <c r="L24" s="4"/>
      <c r="M24" s="3"/>
      <c r="N24" s="3"/>
      <c r="O24" s="3"/>
      <c r="P24" s="3"/>
      <c r="Q24" s="33"/>
      <c r="R24" s="5"/>
      <c r="S24" s="5"/>
      <c r="T24" s="6"/>
      <c r="U24" s="34"/>
      <c r="V24" s="8"/>
      <c r="W24" s="2"/>
      <c r="X24" s="28"/>
      <c r="Y24" s="28"/>
      <c r="Z24" s="28"/>
      <c r="AA24" s="28"/>
    </row>
    <row r="25" spans="2:30" x14ac:dyDescent="0.25">
      <c r="B25" s="7" t="s">
        <v>120</v>
      </c>
      <c r="C25" s="7" t="s">
        <v>127</v>
      </c>
      <c r="F25" s="7" t="s">
        <v>101</v>
      </c>
    </row>
    <row r="26" spans="2:30" x14ac:dyDescent="0.25">
      <c r="B26" s="7" t="s">
        <v>123</v>
      </c>
      <c r="C26" s="7" t="s">
        <v>125</v>
      </c>
      <c r="F26" s="7" t="s">
        <v>102</v>
      </c>
    </row>
    <row r="27" spans="2:30" x14ac:dyDescent="0.25">
      <c r="B27" s="7" t="s">
        <v>115</v>
      </c>
      <c r="C27" s="7" t="s">
        <v>124</v>
      </c>
      <c r="F27" s="7" t="s">
        <v>104</v>
      </c>
    </row>
    <row r="28" spans="2:30" x14ac:dyDescent="0.25">
      <c r="B28" s="7" t="s">
        <v>117</v>
      </c>
      <c r="C28" s="7" t="s">
        <v>132</v>
      </c>
      <c r="F28" s="7" t="s">
        <v>105</v>
      </c>
    </row>
    <row r="29" spans="2:30" x14ac:dyDescent="0.25">
      <c r="B29" s="7" t="s">
        <v>114</v>
      </c>
      <c r="F29" s="7" t="s">
        <v>100</v>
      </c>
    </row>
    <row r="30" spans="2:30" x14ac:dyDescent="0.25">
      <c r="B30" s="7" t="s">
        <v>118</v>
      </c>
      <c r="F30" s="7" t="s">
        <v>91</v>
      </c>
      <c r="J30" s="7" t="str">
        <f>IF(DATA!AD20&lt;&gt;"",DATA!AD20,DATA!AD4)</f>
        <v/>
      </c>
    </row>
    <row r="31" spans="2:30" x14ac:dyDescent="0.25">
      <c r="F31" s="7" t="s">
        <v>99</v>
      </c>
    </row>
    <row r="34" spans="6:6" x14ac:dyDescent="0.25">
      <c r="F34" s="7" t="s">
        <v>89</v>
      </c>
    </row>
    <row r="35" spans="6:6" x14ac:dyDescent="0.25">
      <c r="F35" s="7" t="s">
        <v>107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NOON</vt:lpstr>
      <vt:lpstr>DATA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2024-04-24T11:53:07Z</cp:lastPrinted>
  <dcterms:created xsi:type="dcterms:W3CDTF">2023-11-13T10:14:48Z</dcterms:created>
  <dcterms:modified xsi:type="dcterms:W3CDTF">2025-01-06T11:37:23Z</dcterms:modified>
</cp:coreProperties>
</file>