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4000" windowHeight="943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<sst xmlns="http://schemas.openxmlformats.org/spreadsheetml/2006/main" count="222" uniqueCount="162">
  <si>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</si>
  <si>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</si>
  <si>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</si>
  <si>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</si>
  <si>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</si>
  <si>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</si>
  <si>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</si>
  <si>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</si>
  <si>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</si>
  <si>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</si>
  <si>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</si>
  <si>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</si>
  <si>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</si>
  <si>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</si>
  <si>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</si>
  <si>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</si>
  <si>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</si>
  <si>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</si>
  <si>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</si>
  <si>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</si>
  <si>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</si>
  <si>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</si>
  <si>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</si>
  <si>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</si>
  <si>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</si>
  <si>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</si>
  <si>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</si>
  <si>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</si>
  <si>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</si>
  <si>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</si>
  <si>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</si>
  <si>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</si>
  <si>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</si>
  <si>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</si>
  <si>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</si>
  <si>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</si>
  <si>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</si>
  <si>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</si>
  <si>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</si>
  <si>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</si>
  <si>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</si>
  <si>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</si>
  <si>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</si>
  <si>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</si>
  <si>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</si>
  <si>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</si>
  <si>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</si>
  <si>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</si>
  <si>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</si>
  <si>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</si>
  <si>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</si>
  <si>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</si>
  <si>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</si>
  <si>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</si>
  <si>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</si>
  <si>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</si>
  <si>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</si>
  <si>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</si>
  <si>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</si>
  <si>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</si>
  <si>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</si>
  <si>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</si>
  <si>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</si>
  <si>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</si>
  <si>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</si>
  <si>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</si>
  <si>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</si>
  <si>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</si>
  <si>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</si>
  <si>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</si>
  <si>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</si>
  <si>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</si>
  <si>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</si>
  <si>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</si>
  <si>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</si>
  <si>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</si>
  <si>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</si>
  <si>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</si>
  <si>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</si>
  <si>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</si>
  <si>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</si>
  <si>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</si>
  <si>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</si>
  <si>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</si>
  <si>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</si>
  <si>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</si>
  <si>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</si>
  <si>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</si>
  <si>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</si>
  <si>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</si>
  <si>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</si>
  <si>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</si>
  <si>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</si>
  <si>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</si>
  <si>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</si>
  <si>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</si>
  <si>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</si>
  <si>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</si>
  <si>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</si>
  <si>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</si>
  <si>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</si>
  <si>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</si>
  <si>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</si>
  <si>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</si>
  <si>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</si>
  <si>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</si>
  <si>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</si>
  <si>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</si>
  <si>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</si>
  <si>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</si>
  <si>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</si>
  <si>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</si>
  <si>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</si>
  <si>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</si>
  <si>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</si>
  <si>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</si>
  <si>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</si>
  <si>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</si>
  <si>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</si>
  <si>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</si>
  <si>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</si>
  <si>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</si>
  <si>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</si>
  <si>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</si>
  <si>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</si>
  <si>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</si>
  <si>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</si>
  <si>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</si>
  <si>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</si>
  <si>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</si>
  <si>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</si>
  <si>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</si>
  <si>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</si>
  <si>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</si>
  <si>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</si>
  <si>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</si>
  <si>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</si>
  <si>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</si>
  <si>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</si>
  <si>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</si>
  <si>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</si>
  <si>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</si>
  <si>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</si>
  <si>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</si>
  <si>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</si>
  <si>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</si>
  <si>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</si>
  <si>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</si>
  <si>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</si>
  <si>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</si>
  <si>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</si>
  <si>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</si>
  <si>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</si>
  <si>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</si>
  <si>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</si>
  <si>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</si>
  <si>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</si>
  <si>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</si>
  <si>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</si>
  <si>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</si>
  <si>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N/6</t>
  </si>
  <si>
    <t>12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</si>
</sst>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4" zoomScale="130" zoomScaleNormal="130" zoomScaleSheetLayoutView="130" workbookViewId="0">
      <selection activeCell="J13" sqref="J13:K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/>
      <c r="C5" s="55"/>
      <c r="E5" s="29" t="s">
        <v>52</v>
      </c>
      <c r="F5" s="55" t="s">
        <v>160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/>
      <c r="C6" s="55"/>
      <c r="E6" s="29" t="s">
        <v>40</v>
      </c>
      <c r="F6" s="69">
        <v>5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/>
      <c r="C7" s="55"/>
      <c r="E7" s="29" t="s">
        <v>47</v>
      </c>
      <c r="F7" s="56" t="s">
        <v>161</v>
      </c>
      <c r="G7" s="56"/>
      <c r="I7" s="29" t="s">
        <v>24</v>
      </c>
      <c r="J7" s="68">
        <v>513.46</v>
      </c>
      <c r="K7" s="68"/>
    </row>
    <row r="8" spans="1:11" ht="15" customHeight="1" x14ac:dyDescent="0.25">
      <c r="A8" s="29" t="s">
        <v>6</v>
      </c>
      <c r="B8" s="55"/>
      <c r="C8" s="55"/>
      <c r="E8" s="36" t="s">
        <v>73</v>
      </c>
      <c r="F8" s="36"/>
      <c r="G8" s="36"/>
      <c r="I8" s="29" t="s">
        <v>34</v>
      </c>
      <c r="J8" s="67"/>
      <c r="K8" s="67"/>
    </row>
    <row r="9" spans="1:11" ht="15" customHeight="1" x14ac:dyDescent="0.25">
      <c r="A9" s="29" t="s">
        <v>0</v>
      </c>
      <c r="B9" s="62">
        <v>6022025</v>
      </c>
      <c r="C9" s="62"/>
      <c r="E9" s="29" t="s">
        <v>76</v>
      </c>
      <c r="F9" s="12">
        <v>-137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-161.61000000000001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/>
      <c r="C11" s="61"/>
      <c r="E11" s="29" t="s">
        <v>77</v>
      </c>
      <c r="F11" s="12">
        <v>-161.59</v>
      </c>
      <c r="G11" s="12"/>
      <c r="I11" s="29" t="s">
        <v>138</v>
      </c>
      <c r="J11" s="65">
        <v>0</v>
      </c>
      <c r="K11" s="65"/>
    </row>
    <row r="12" spans="1:11" ht="15" customHeight="1" x14ac:dyDescent="0.25">
      <c r="A12" s="29" t="s">
        <v>4</v>
      </c>
      <c r="B12" s="58"/>
      <c r="C12" s="59"/>
      <c r="E12" s="29" t="s">
        <v>78</v>
      </c>
      <c r="F12" s="12">
        <v>-161.46</v>
      </c>
      <c r="G12" s="12"/>
      <c r="I12" s="29" t="s">
        <v>48</v>
      </c>
      <c r="J12" s="70">
        <v>125173964</v>
      </c>
      <c r="K12" s="71"/>
    </row>
    <row r="13" spans="1:11" ht="15" customHeight="1" x14ac:dyDescent="0.25">
      <c r="A13" s="29" t="s">
        <v>3</v>
      </c>
      <c r="B13" s="57"/>
      <c r="C13" s="57"/>
      <c r="E13" s="36" t="s">
        <v>158</v>
      </c>
      <c r="F13" s="36"/>
      <c r="G13" s="36"/>
      <c r="I13" s="29" t="s">
        <v>46</v>
      </c>
      <c r="J13" s="70">
        <v>124981434</v>
      </c>
      <c r="K13" s="71"/>
    </row>
    <row r="14" spans="1:11" ht="15" customHeight="1" x14ac:dyDescent="0.25">
      <c r="A14" s="29" t="s">
        <v>137</v>
      </c>
      <c r="B14" s="54"/>
      <c r="C14" s="54"/>
      <c r="E14" s="29" t="s">
        <v>76</v>
      </c>
      <c r="F14" s="11">
        <v>1129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/>
      <c r="C15" s="53"/>
      <c r="E15" s="29" t="s">
        <v>75</v>
      </c>
      <c r="F15" s="11">
        <v>1127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/>
      <c r="C16" s="53"/>
      <c r="E16" s="29" t="s">
        <v>77</v>
      </c>
      <c r="F16" s="11">
        <v>1126</v>
      </c>
      <c r="G16" s="11"/>
      <c r="I16" s="29" t="s">
        <v>0</v>
      </c>
      <c r="J16" s="62">
        <v>6022025</v>
      </c>
      <c r="K16" s="62"/>
    </row>
    <row r="17" spans="1:11" ht="15" customHeight="1" x14ac:dyDescent="0.25">
      <c r="A17" s="29" t="s">
        <v>49</v>
      </c>
      <c r="B17" s="53"/>
      <c r="C17" s="53"/>
      <c r="E17" s="29" t="s">
        <v>78</v>
      </c>
      <c r="F17" s="11">
        <v>1129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1022025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2100</v>
      </c>
      <c r="C21" s="17">
        <v>100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25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281904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523.62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135945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-25</v>
      </c>
      <c r="C31" s="40"/>
      <c r="E31" s="31" t="s">
        <v>56</v>
      </c>
      <c r="F31" s="51">
        <f>IF(B32="",DATA!V3,"")</f>
        <v>109.99999999988358</v>
      </c>
      <c r="G31" s="51"/>
      <c r="I31" s="31" t="s">
        <v>57</v>
      </c>
      <c r="J31" s="48">
        <f>IFERROR(ROUND(B31/F31,1),"")</f>
        <v>-0.2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10.159999999999968</v>
      </c>
      <c r="G33" s="39"/>
      <c r="I33" s="32" t="s">
        <v>146</v>
      </c>
      <c r="J33" s="44">
        <f>IF(DATA!AD3&lt;&gt;"",DATA!AD3,DATA!AD4)</f>
        <v>135945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6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45694.5</v>
      </c>
      <c r="U2" s="34">
        <f>IFERROR(T2-Q2,"")</f>
        <v>45694.416666666664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513.46</v>
      </c>
      <c r="AA2" s="28">
        <f>IFERROR(NOON!J8,"")</f>
        <v>0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21</v>
      </c>
      <c r="N3" s="3" t="str">
        <f>IFERROR(RIGHT(NOON!B21,2),"")</f>
        <v>00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0.875</v>
      </c>
      <c r="S3" s="5">
        <f t="shared" ref="S3:S7" si="2">IFERROR(TIME(ABS(O3),ABS(P3),0),"")</f>
        <v>4.1666666666666664E-2</v>
      </c>
      <c r="T3" s="6">
        <f t="shared" si="0"/>
        <v>45689.875</v>
      </c>
      <c r="U3" s="34">
        <f t="shared" ref="U3:U7" si="3">IFERROR(T3-Q3,"")</f>
        <v>45689.833333333336</v>
      </c>
      <c r="V3" s="8">
        <f>IFERROR(((24*(U2-U3))),"")</f>
        <v>109.99999999988358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523.62</v>
      </c>
      <c r="AA3" s="28">
        <f>IFERROR(NOON!B28,"")</f>
        <v>135945</v>
      </c>
      <c r="AB3" s="28">
        <f>IF($U$3="","",IF($U$4="",(X3+Y3)-(X2+Y2),""))</f>
        <v>0</v>
      </c>
      <c r="AC3" s="28">
        <f>IF($U$3="","",IF($U$4="",Z3-Z2,""))</f>
        <v>10.159999999999968</v>
      </c>
      <c r="AD3" s="28">
        <f>IF($U$3="","",IF($U$4="",AA3-AA2,""))</f>
        <v>135945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6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45694.333333333336</v>
      </c>
      <c r="U7" s="34">
        <f t="shared" si="3"/>
        <v>45694.208333333336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3Engineer</cp:lastModifiedBy>
  <cp:lastPrinted>2024-04-24T11:53:07Z</cp:lastPrinted>
  <dcterms:created xsi:type="dcterms:W3CDTF">2023-11-13T10:14:48Z</dcterms:created>
  <dcterms:modified xsi:type="dcterms:W3CDTF">2025-02-06T09:23:49Z</dcterms:modified>
</cp:coreProperties>
</file>