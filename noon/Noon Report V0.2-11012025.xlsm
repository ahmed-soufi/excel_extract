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20490" windowHeight="7650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U23" i="3"/>
  <c r="U6" i="3"/>
  <c r="U20" i="3"/>
  <c r="V21" i="3" s="1"/>
  <c r="U5" i="3"/>
  <c r="U4" i="3"/>
  <c r="AB4" i="3" s="1"/>
  <c r="U2" i="3"/>
  <c r="U7" i="3"/>
  <c r="U3" i="3"/>
  <c r="AB21" i="3"/>
  <c r="AD21" i="3"/>
  <c r="AC21" i="3"/>
  <c r="U22" i="3"/>
  <c r="V23" i="3" l="1"/>
  <c r="AC4" i="3"/>
  <c r="V3" i="3"/>
  <c r="F31" i="2" s="1"/>
  <c r="J31" i="2" s="1"/>
  <c r="AD4" i="3"/>
  <c r="J30" i="3" s="1"/>
  <c r="AD3" i="3"/>
  <c r="AB3" i="3"/>
  <c r="B33" i="2" s="1"/>
  <c r="V4" i="3"/>
  <c r="F32" i="2" s="1"/>
  <c r="J32" i="2" s="1"/>
  <c r="V6" i="3"/>
  <c r="AC3" i="3"/>
  <c r="F33" i="2" l="1"/>
  <c r="J33" i="2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<sst xmlns="http://schemas.openxmlformats.org/spreadsheetml/2006/main" count="225" uniqueCount="164">
  <si>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</si>
  <si>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</si>
  <si>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</si>
  <si>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</si>
  <si>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</si>
  <si>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</si>
  <si>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</si>
  <si>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</si>
  <si>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</si>
  <si>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</si>
  <si>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</si>
  <si>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</si>
  <si>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</si>
  <si>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</si>
  <si>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</si>
  <si>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</si>
  <si>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</si>
  <si>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</si>
  <si>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</si>
  <si>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</si>
  <si>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</si>
  <si>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</si>
  <si>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</si>
  <si>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</si>
  <si>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</si>
  <si>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</si>
  <si>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</si>
  <si>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</si>
  <si>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</si>
  <si>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</si>
  <si>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</si>
  <si>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</si>
  <si>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</si>
  <si>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</si>
  <si>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</si>
  <si>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</si>
  <si>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</si>
  <si>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</si>
  <si>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</si>
  <si>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</si>
  <si>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</si>
  <si>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</si>
  <si>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</si>
  <si>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</si>
  <si>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</si>
  <si>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</si>
  <si>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</si>
  <si>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</si>
  <si>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</si>
  <si>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</si>
  <si>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</si>
  <si>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</si>
  <si>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</si>
  <si>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</si>
  <si>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</si>
  <si>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</si>
  <si>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</si>
  <si>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</si>
  <si>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</si>
  <si>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</si>
  <si>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</si>
  <si>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</si>
  <si>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</si>
  <si>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</si>
  <si>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</si>
  <si>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</si>
  <si>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</si>
  <si>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</si>
  <si>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</si>
  <si>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</si>
  <si>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</si>
  <si>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</si>
  <si>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</si>
  <si>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</si>
  <si>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</si>
  <si>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</si>
  <si>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</si>
  <si>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</si>
  <si>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</si>
  <si>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</si>
  <si>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</si>
  <si>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</si>
  <si>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</si>
  <si>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</si>
  <si>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</si>
  <si>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</si>
  <si>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</si>
  <si>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</si>
  <si>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</si>
  <si>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</si>
  <si>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</si>
  <si>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</si>
  <si>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</si>
  <si>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</si>
  <si>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</si>
  <si>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</si>
  <si>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</si>
  <si>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</si>
  <si>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</si>
  <si>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</si>
  <si>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</si>
  <si>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</si>
  <si>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</si>
  <si>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</si>
  <si>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</si>
  <si>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</si>
  <si>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</si>
  <si>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</si>
  <si>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</si>
  <si>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</si>
  <si>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</si>
  <si>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</si>
  <si>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</si>
  <si>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</si>
  <si>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</si>
  <si>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</si>
  <si>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</si>
  <si>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</si>
  <si>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</si>
  <si>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</si>
  <si>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</si>
  <si>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</si>
  <si>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</si>
  <si>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</si>
  <si>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</si>
  <si>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</si>
  <si>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</si>
  <si>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</si>
  <si>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</si>
  <si>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</si>
  <si>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</si>
  <si>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</si>
  <si>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</si>
  <si>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</si>
  <si>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</si>
  <si>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</si>
  <si>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</si>
  <si>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</si>
  <si>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</si>
  <si>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</si>
  <si>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</si>
  <si>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</si>
  <si>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</si>
  <si>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</si>
  <si>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</si>
  <si>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</si>
  <si>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</si>
  <si>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</si>
  <si>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</si>
  <si>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</si>
  <si>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</si>
  <si>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</si>
  <si>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</si>
  <si>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</si>
  <si>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</si>
  <si>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</si>
  <si>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</si>
  <si>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</si>
  <si>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</si>
  <si>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</si>
  <si>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M2394-01/25-OUG169-BOTAS</t>
  </si>
  <si>
    <t>TRMAR</t>
  </si>
  <si>
    <t>02/25</t>
  </si>
  <si>
    <t>W/4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</si>
</sst>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topLeftCell="A4" zoomScale="130" zoomScaleNormal="130" zoomScaleSheetLayoutView="130" workbookViewId="0">
      <selection activeCell="F9" sqref="F9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</row>
    <row r="2" spans="1:11" ht="20.100000000000001" customHeight="1" x14ac:dyDescent="0.25">
      <c r="A2" s="63" t="s">
        <v>7</v>
      </c>
      <c r="B2" s="63"/>
      <c r="C2" s="63"/>
      <c r="E2" s="21" t="s">
        <v>45</v>
      </c>
      <c r="F2" s="80" t="s">
        <v>18</v>
      </c>
      <c r="G2" s="80"/>
      <c r="I2" s="22" t="s">
        <v>69</v>
      </c>
      <c r="J2" s="55" t="s">
        <v>159</v>
      </c>
      <c r="K2" s="55"/>
    </row>
    <row r="3" spans="1:11" s="23" customFormat="1" ht="15" customHeight="1" x14ac:dyDescent="0.25">
      <c r="A3" s="66" t="s">
        <v>157</v>
      </c>
      <c r="B3" s="66"/>
      <c r="C3" s="66"/>
      <c r="D3" s="66"/>
      <c r="E3" s="66"/>
      <c r="F3" s="66"/>
      <c r="G3" s="66"/>
      <c r="H3" s="66"/>
      <c r="I3" s="66"/>
      <c r="J3" s="66"/>
      <c r="K3" s="66"/>
    </row>
    <row r="4" spans="1:11" ht="15" customHeight="1" x14ac:dyDescent="0.25">
      <c r="A4" s="36" t="s">
        <v>29</v>
      </c>
      <c r="B4" s="36"/>
      <c r="C4" s="36"/>
      <c r="E4" s="36" t="s">
        <v>140</v>
      </c>
      <c r="F4" s="36"/>
      <c r="G4" s="36"/>
      <c r="I4" s="36" t="s">
        <v>22</v>
      </c>
      <c r="J4" s="36"/>
      <c r="K4" s="36"/>
    </row>
    <row r="5" spans="1:11" ht="15" customHeight="1" x14ac:dyDescent="0.25">
      <c r="A5" s="29" t="s">
        <v>25</v>
      </c>
      <c r="B5" s="55" t="s">
        <v>92</v>
      </c>
      <c r="C5" s="55"/>
      <c r="E5" s="29" t="s">
        <v>52</v>
      </c>
      <c r="F5" s="55" t="s">
        <v>163</v>
      </c>
      <c r="G5" s="55"/>
      <c r="I5" s="29" t="s">
        <v>32</v>
      </c>
      <c r="J5" s="68">
        <v>1107</v>
      </c>
      <c r="K5" s="68"/>
    </row>
    <row r="6" spans="1:11" ht="15" customHeight="1" x14ac:dyDescent="0.25">
      <c r="A6" s="29" t="s">
        <v>139</v>
      </c>
      <c r="B6" s="55" t="s">
        <v>160</v>
      </c>
      <c r="C6" s="55"/>
      <c r="E6" s="29" t="s">
        <v>40</v>
      </c>
      <c r="F6" s="69">
        <v>3</v>
      </c>
      <c r="G6" s="69"/>
      <c r="I6" s="29" t="s">
        <v>33</v>
      </c>
      <c r="J6" s="68"/>
      <c r="K6" s="68"/>
    </row>
    <row r="7" spans="1:11" ht="15" customHeight="1" x14ac:dyDescent="0.25">
      <c r="A7" s="29" t="s">
        <v>2</v>
      </c>
      <c r="B7" s="55" t="s">
        <v>162</v>
      </c>
      <c r="C7" s="55"/>
      <c r="E7" s="29" t="s">
        <v>47</v>
      </c>
      <c r="F7" s="56">
        <v>16</v>
      </c>
      <c r="G7" s="56"/>
      <c r="I7" s="29" t="s">
        <v>24</v>
      </c>
      <c r="J7" s="68">
        <v>366.34</v>
      </c>
      <c r="K7" s="68"/>
    </row>
    <row r="8" spans="1:11" ht="15" customHeight="1" x14ac:dyDescent="0.25">
      <c r="A8" s="29" t="s">
        <v>6</v>
      </c>
      <c r="B8" s="55" t="s">
        <v>161</v>
      </c>
      <c r="C8" s="55"/>
      <c r="E8" s="36" t="s">
        <v>73</v>
      </c>
      <c r="F8" s="36"/>
      <c r="G8" s="36"/>
      <c r="I8" s="29" t="s">
        <v>34</v>
      </c>
      <c r="J8" s="67">
        <v>167551.9</v>
      </c>
      <c r="K8" s="67"/>
    </row>
    <row r="9" spans="1:11" ht="15" customHeight="1" x14ac:dyDescent="0.25">
      <c r="A9" s="29" t="s">
        <v>0</v>
      </c>
      <c r="B9" s="62">
        <v>11012025</v>
      </c>
      <c r="C9" s="62"/>
      <c r="E9" s="29" t="s">
        <v>76</v>
      </c>
      <c r="F9" s="12">
        <v>-161.38</v>
      </c>
      <c r="G9" s="12"/>
      <c r="I9" s="29" t="s">
        <v>51</v>
      </c>
      <c r="J9" s="72">
        <v>62577</v>
      </c>
      <c r="K9" s="72"/>
    </row>
    <row r="10" spans="1:11" ht="15" customHeight="1" x14ac:dyDescent="0.25">
      <c r="A10" s="29" t="s">
        <v>53</v>
      </c>
      <c r="B10" s="9">
        <v>1200</v>
      </c>
      <c r="C10" s="10">
        <v>200</v>
      </c>
      <c r="E10" s="29" t="s">
        <v>75</v>
      </c>
      <c r="F10" s="12">
        <v>-161.43</v>
      </c>
      <c r="G10" s="12"/>
      <c r="I10" s="36" t="s">
        <v>72</v>
      </c>
      <c r="J10" s="36"/>
      <c r="K10" s="36"/>
    </row>
    <row r="11" spans="1:11" ht="15" customHeight="1" x14ac:dyDescent="0.25">
      <c r="A11" s="29" t="s">
        <v>5</v>
      </c>
      <c r="B11" s="60">
        <v>36260</v>
      </c>
      <c r="C11" s="61"/>
      <c r="E11" s="29" t="s">
        <v>77</v>
      </c>
      <c r="F11" s="12">
        <v>-161.43</v>
      </c>
      <c r="G11" s="12"/>
      <c r="I11" s="29" t="s">
        <v>138</v>
      </c>
      <c r="J11" s="65">
        <v>66</v>
      </c>
      <c r="K11" s="65"/>
    </row>
    <row r="12" spans="1:11" ht="15" customHeight="1" x14ac:dyDescent="0.25">
      <c r="A12" s="29" t="s">
        <v>4</v>
      </c>
      <c r="B12" s="58">
        <v>-14178</v>
      </c>
      <c r="C12" s="59"/>
      <c r="E12" s="29" t="s">
        <v>78</v>
      </c>
      <c r="F12" s="12">
        <v>-161.43</v>
      </c>
      <c r="G12" s="12"/>
      <c r="I12" s="29" t="s">
        <v>48</v>
      </c>
      <c r="J12" s="70">
        <v>124065899</v>
      </c>
      <c r="K12" s="71"/>
    </row>
    <row r="13" spans="1:11" ht="15" customHeight="1" x14ac:dyDescent="0.25">
      <c r="A13" s="29" t="s">
        <v>3</v>
      </c>
      <c r="B13" s="57">
        <v>112</v>
      </c>
      <c r="C13" s="57"/>
      <c r="E13" s="36" t="s">
        <v>158</v>
      </c>
      <c r="F13" s="36"/>
      <c r="G13" s="36"/>
      <c r="I13" s="29" t="s">
        <v>46</v>
      </c>
      <c r="J13" s="70">
        <v>123872816</v>
      </c>
      <c r="K13" s="71"/>
    </row>
    <row r="14" spans="1:11" ht="15" customHeight="1" x14ac:dyDescent="0.25">
      <c r="A14" s="29" t="s">
        <v>137</v>
      </c>
      <c r="B14" s="54">
        <v>19</v>
      </c>
      <c r="C14" s="54"/>
      <c r="E14" s="29" t="s">
        <v>76</v>
      </c>
      <c r="F14" s="11">
        <v>1102</v>
      </c>
      <c r="G14" s="11"/>
      <c r="I14" s="35" t="s">
        <v>54</v>
      </c>
      <c r="J14" s="64">
        <f>IFERROR(INDEX(DATA!A1:E14,MATCH(F2,DATA!B1:B14,0),4),"")</f>
        <v>8.8188800000000001</v>
      </c>
      <c r="K14" s="64"/>
    </row>
    <row r="15" spans="1:11" ht="15" customHeight="1" x14ac:dyDescent="0.25">
      <c r="A15" s="29" t="s">
        <v>28</v>
      </c>
      <c r="B15" s="53">
        <v>763</v>
      </c>
      <c r="C15" s="53"/>
      <c r="E15" s="29" t="s">
        <v>75</v>
      </c>
      <c r="F15" s="11">
        <v>1100</v>
      </c>
      <c r="G15" s="11"/>
      <c r="I15" s="36" t="s">
        <v>74</v>
      </c>
      <c r="J15" s="36"/>
      <c r="K15" s="36"/>
    </row>
    <row r="16" spans="1:11" ht="15" customHeight="1" x14ac:dyDescent="0.25">
      <c r="A16" s="29" t="s">
        <v>50</v>
      </c>
      <c r="B16" s="53">
        <v>757</v>
      </c>
      <c r="C16" s="53"/>
      <c r="E16" s="29" t="s">
        <v>77</v>
      </c>
      <c r="F16" s="11">
        <v>1099</v>
      </c>
      <c r="G16" s="11"/>
      <c r="I16" s="29" t="s">
        <v>0</v>
      </c>
      <c r="J16" s="62">
        <v>13102025</v>
      </c>
      <c r="K16" s="62"/>
    </row>
    <row r="17" spans="1:11" ht="15" customHeight="1" x14ac:dyDescent="0.25">
      <c r="A17" s="29" t="s">
        <v>49</v>
      </c>
      <c r="B17" s="53">
        <v>278478.46999999997</v>
      </c>
      <c r="C17" s="53"/>
      <c r="E17" s="29" t="s">
        <v>78</v>
      </c>
      <c r="F17" s="11">
        <v>1102</v>
      </c>
      <c r="G17" s="11"/>
      <c r="I17" s="29" t="s">
        <v>53</v>
      </c>
      <c r="J17" s="9">
        <v>800</v>
      </c>
      <c r="K17" s="10">
        <v>300</v>
      </c>
    </row>
    <row r="18" spans="1:11" ht="8.1" customHeight="1" x14ac:dyDescent="0.25">
      <c r="A18" s="73"/>
      <c r="B18" s="73"/>
      <c r="C18" s="73"/>
      <c r="D18" s="73"/>
      <c r="E18" s="73"/>
      <c r="F18" s="73"/>
      <c r="G18" s="73"/>
      <c r="H18" s="73"/>
      <c r="I18" s="73"/>
      <c r="J18" s="73"/>
      <c r="K18" s="73"/>
    </row>
    <row r="19" spans="1:11" ht="15" customHeight="1" x14ac:dyDescent="0.25">
      <c r="A19" s="36" t="s">
        <v>38</v>
      </c>
      <c r="B19" s="36"/>
      <c r="C19" s="36"/>
      <c r="E19" s="36" t="s">
        <v>39</v>
      </c>
      <c r="F19" s="36"/>
      <c r="G19" s="36"/>
      <c r="I19" s="36" t="s">
        <v>70</v>
      </c>
      <c r="J19" s="36"/>
      <c r="K19" s="36"/>
    </row>
    <row r="20" spans="1:11" ht="15" customHeight="1" x14ac:dyDescent="0.25">
      <c r="A20" s="29" t="s">
        <v>23</v>
      </c>
      <c r="B20" s="79">
        <v>9012025</v>
      </c>
      <c r="C20" s="79"/>
      <c r="E20" s="29" t="s">
        <v>37</v>
      </c>
      <c r="F20" s="46"/>
      <c r="G20" s="47"/>
      <c r="I20" s="29" t="s">
        <v>1</v>
      </c>
      <c r="J20" s="50"/>
      <c r="K20" s="50"/>
    </row>
    <row r="21" spans="1:11" ht="15" customHeight="1" x14ac:dyDescent="0.25">
      <c r="A21" s="29" t="s">
        <v>53</v>
      </c>
      <c r="B21" s="16">
        <v>1930</v>
      </c>
      <c r="C21" s="17">
        <v>100</v>
      </c>
      <c r="E21" s="29" t="s">
        <v>53</v>
      </c>
      <c r="F21" s="14"/>
      <c r="G21" s="15"/>
      <c r="I21" s="29" t="s">
        <v>41</v>
      </c>
      <c r="J21" s="78"/>
      <c r="K21" s="78"/>
    </row>
    <row r="22" spans="1:11" ht="15" customHeight="1" x14ac:dyDescent="0.25">
      <c r="A22" s="29" t="s">
        <v>31</v>
      </c>
      <c r="B22" s="37">
        <v>28</v>
      </c>
      <c r="C22" s="37"/>
      <c r="D22" s="30"/>
      <c r="E22" s="29" t="s">
        <v>30</v>
      </c>
      <c r="F22" s="45"/>
      <c r="G22" s="45"/>
      <c r="H22" s="30"/>
      <c r="I22" s="29" t="s">
        <v>53</v>
      </c>
      <c r="J22" s="13"/>
      <c r="K22" s="18"/>
    </row>
    <row r="23" spans="1:11" ht="15" customHeight="1" x14ac:dyDescent="0.25">
      <c r="A23" s="29" t="s">
        <v>136</v>
      </c>
      <c r="B23" s="37">
        <v>277755</v>
      </c>
      <c r="C23" s="37"/>
      <c r="D23" s="30"/>
      <c r="E23" s="29" t="s">
        <v>135</v>
      </c>
      <c r="F23" s="45"/>
      <c r="G23" s="45"/>
      <c r="H23" s="30"/>
      <c r="I23" s="29" t="s">
        <v>42</v>
      </c>
      <c r="J23" s="77"/>
      <c r="K23" s="77"/>
    </row>
    <row r="24" spans="1:11" ht="15" customHeight="1" x14ac:dyDescent="0.25">
      <c r="A24" s="36" t="s">
        <v>35</v>
      </c>
      <c r="B24" s="36"/>
      <c r="C24" s="36"/>
      <c r="D24" s="30"/>
      <c r="E24" s="36" t="s">
        <v>36</v>
      </c>
      <c r="F24" s="36"/>
      <c r="G24" s="36"/>
      <c r="H24" s="30"/>
      <c r="I24" s="36" t="s">
        <v>71</v>
      </c>
      <c r="J24" s="36"/>
      <c r="K24" s="36"/>
    </row>
    <row r="25" spans="1:11" ht="15" customHeight="1" x14ac:dyDescent="0.25">
      <c r="A25" s="29" t="s">
        <v>32</v>
      </c>
      <c r="B25" s="43">
        <v>1107</v>
      </c>
      <c r="C25" s="43"/>
      <c r="D25" s="30"/>
      <c r="E25" s="29" t="s">
        <v>32</v>
      </c>
      <c r="F25" s="38"/>
      <c r="G25" s="38"/>
      <c r="H25" s="30"/>
      <c r="I25" s="29" t="s">
        <v>44</v>
      </c>
      <c r="J25" s="78"/>
      <c r="K25" s="78"/>
    </row>
    <row r="26" spans="1:11" ht="15" customHeight="1" x14ac:dyDescent="0.25">
      <c r="A26" s="29" t="s">
        <v>33</v>
      </c>
      <c r="B26" s="43"/>
      <c r="C26" s="43"/>
      <c r="D26" s="30"/>
      <c r="E26" s="29" t="s">
        <v>33</v>
      </c>
      <c r="F26" s="38"/>
      <c r="G26" s="38"/>
      <c r="H26" s="30"/>
      <c r="I26" s="29" t="s">
        <v>53</v>
      </c>
      <c r="J26" s="13"/>
      <c r="K26" s="18"/>
    </row>
    <row r="27" spans="1:11" ht="15" customHeight="1" x14ac:dyDescent="0.25">
      <c r="A27" s="29" t="s">
        <v>24</v>
      </c>
      <c r="B27" s="43">
        <v>378.36</v>
      </c>
      <c r="C27" s="43"/>
      <c r="D27" s="30"/>
      <c r="E27" s="29" t="s">
        <v>24</v>
      </c>
      <c r="F27" s="38"/>
      <c r="G27" s="38"/>
      <c r="H27" s="30"/>
      <c r="I27" s="29" t="s">
        <v>43</v>
      </c>
      <c r="J27" s="77"/>
      <c r="K27" s="77"/>
    </row>
    <row r="28" spans="1:11" ht="15" customHeight="1" x14ac:dyDescent="0.25">
      <c r="A28" s="29" t="s">
        <v>34</v>
      </c>
      <c r="B28" s="42">
        <v>168027.1</v>
      </c>
      <c r="C28" s="42"/>
      <c r="D28" s="30"/>
      <c r="E28" s="29" t="s">
        <v>34</v>
      </c>
      <c r="F28" s="38"/>
      <c r="G28" s="38"/>
      <c r="H28" s="30"/>
    </row>
    <row r="29" spans="1:11" ht="8.1" customHeight="1" x14ac:dyDescent="0.25">
      <c r="A29" s="73"/>
      <c r="B29" s="73"/>
      <c r="C29" s="73"/>
      <c r="D29" s="73"/>
      <c r="E29" s="73"/>
      <c r="F29" s="73"/>
      <c r="G29" s="73"/>
      <c r="H29" s="73"/>
      <c r="I29" s="73"/>
      <c r="J29" s="73"/>
      <c r="K29" s="73"/>
    </row>
    <row r="30" spans="1:11" ht="20.100000000000001" customHeight="1" x14ac:dyDescent="0.25">
      <c r="A30" s="74" t="s">
        <v>108</v>
      </c>
      <c r="B30" s="75"/>
      <c r="C30" s="75"/>
      <c r="D30" s="75"/>
      <c r="E30" s="75"/>
      <c r="F30" s="75"/>
      <c r="G30" s="75"/>
      <c r="H30" s="75"/>
      <c r="I30" s="75"/>
      <c r="J30" s="75"/>
      <c r="K30" s="76"/>
    </row>
    <row r="31" spans="1:11" ht="15" customHeight="1" x14ac:dyDescent="0.25">
      <c r="A31" s="31" t="s">
        <v>55</v>
      </c>
      <c r="B31" s="40">
        <f>IF(B22="","",IF(F22&lt;&gt;"","",B15-B22))</f>
        <v>735</v>
      </c>
      <c r="C31" s="40"/>
      <c r="E31" s="31" t="s">
        <v>56</v>
      </c>
      <c r="F31" s="51">
        <f>IF(B32="",DATA!V3,"")</f>
        <v>39.499999999883585</v>
      </c>
      <c r="G31" s="51"/>
      <c r="I31" s="31" t="s">
        <v>57</v>
      </c>
      <c r="J31" s="48">
        <f>IFERROR(ROUND(B31/F31,1),"")</f>
        <v>18.600000000000001</v>
      </c>
      <c r="K31" s="48"/>
    </row>
    <row r="32" spans="1:11" ht="15" customHeight="1" x14ac:dyDescent="0.25">
      <c r="A32" s="32" t="s">
        <v>58</v>
      </c>
      <c r="B32" s="41" t="str">
        <f>IF(F22="","",F22-B22)</f>
        <v/>
      </c>
      <c r="C32" s="41"/>
      <c r="E32" s="32" t="s">
        <v>150</v>
      </c>
      <c r="F32" s="52" t="str">
        <f>IF(B32="","",DATA!V4)</f>
        <v/>
      </c>
      <c r="G32" s="52"/>
      <c r="I32" s="32" t="s">
        <v>59</v>
      </c>
      <c r="J32" s="49" t="str">
        <f>IFERROR(ROUND(B32/F32,1),"")</f>
        <v/>
      </c>
      <c r="K32" s="49"/>
    </row>
    <row r="33" spans="1:11" ht="15" customHeight="1" x14ac:dyDescent="0.25">
      <c r="A33" s="32" t="s">
        <v>144</v>
      </c>
      <c r="B33" s="39">
        <f>IF(DATA!AB3&lt;&gt;"",DATA!AB3,DATA!AB4)</f>
        <v>0</v>
      </c>
      <c r="C33" s="39"/>
      <c r="E33" s="32" t="s">
        <v>145</v>
      </c>
      <c r="F33" s="39">
        <f>IF(DATA!AC3&lt;&gt;"",DATA!AC3,DATA!AC4)</f>
        <v>12.020000000000039</v>
      </c>
      <c r="G33" s="39"/>
      <c r="I33" s="32" t="s">
        <v>146</v>
      </c>
      <c r="J33" s="44">
        <f>IF(DATA!AD3&lt;&gt;"",DATA!AD3,DATA!AD4)</f>
        <v>475.20000000001164</v>
      </c>
      <c r="K33" s="44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2:C2"/>
    <mergeCell ref="B8:C8"/>
    <mergeCell ref="B7:C7"/>
    <mergeCell ref="B6:C6"/>
    <mergeCell ref="B9:C9"/>
    <mergeCell ref="A4:C4"/>
    <mergeCell ref="J16:K16"/>
    <mergeCell ref="I15:K15"/>
    <mergeCell ref="I19:K19"/>
    <mergeCell ref="F26:G26"/>
    <mergeCell ref="F25:G25"/>
    <mergeCell ref="E24:G24"/>
    <mergeCell ref="E19:G19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33:K33"/>
    <mergeCell ref="F22:G22"/>
    <mergeCell ref="F20:G20"/>
    <mergeCell ref="J31:K31"/>
    <mergeCell ref="J32:K32"/>
    <mergeCell ref="J20:K20"/>
    <mergeCell ref="F31:G31"/>
    <mergeCell ref="F32:G32"/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11</v>
      </c>
      <c r="K2" s="3" t="str">
        <f>IF(LEN(NOON!B9)=8,IFERROR(MID(NOON!B9,3,2),""),IFERROR(MID(NOON!B9,2,2),""))</f>
        <v>01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2</v>
      </c>
      <c r="P2" s="3" t="str">
        <f>IFERROR(RIGHT(NOON!C10,2),"")</f>
        <v>00</v>
      </c>
      <c r="Q2" s="33">
        <f>IFERROR(S2*SIGN(O2),"")</f>
        <v>8.3333333333333329E-2</v>
      </c>
      <c r="R2" s="5">
        <f>IFERROR(TIME(M2,N2,0),"")</f>
        <v>0.5</v>
      </c>
      <c r="S2" s="5">
        <f>IFERROR(TIME(ABS(O2),ABS(P2),0),"")</f>
        <v>8.3333333333333329E-2</v>
      </c>
      <c r="T2" s="6">
        <f t="shared" ref="T2:T7" si="0">IFERROR(DATE(L2,K2,J2)+R2,"")</f>
        <v>45668.5</v>
      </c>
      <c r="U2" s="34">
        <f>IFERROR(T2-Q2,"")</f>
        <v>45668.416666666664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366.34</v>
      </c>
      <c r="AA2" s="28">
        <f>IFERROR(NOON!J8,"")</f>
        <v>167551.9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9</v>
      </c>
      <c r="K3" s="3" t="str">
        <f>IF(LEN(NOON!B20)=8,IFERROR(MID(NOON!B20,3,2),""),IFERROR(MID(NOON!B20,2,2),""))</f>
        <v>01</v>
      </c>
      <c r="L3" s="4" t="str">
        <f>IFERROR(RIGHT(NOON!B20,4),"")</f>
        <v>2025</v>
      </c>
      <c r="M3" s="3" t="str">
        <f>IFERROR(IF(LEN(NOON!B21)=3,LEFT(NOON!B21,1),IF(LEN(NOON!B21)=4,LEFT(NOON!B21,2),"")),"")</f>
        <v>19</v>
      </c>
      <c r="N3" s="3" t="str">
        <f>IFERROR(RIGHT(NOON!B21,2),"")</f>
        <v>30</v>
      </c>
      <c r="O3" s="3" t="str">
        <f>IFERROR(IF(LEN(NOON!C21)=3,LEFT(NOON!C21,1),IF(LEN(NOON!C21)=4,LEFT(NOON!C21,2),"")),"")</f>
        <v>1</v>
      </c>
      <c r="P3" s="3" t="str">
        <f>IFERROR(RIGHT(NOON!C21,2),"")</f>
        <v>00</v>
      </c>
      <c r="Q3" s="33">
        <f t="shared" ref="Q3:Q7" si="1">IFERROR(S3*SIGN(O3),"")</f>
        <v>4.1666666666666664E-2</v>
      </c>
      <c r="R3" s="5">
        <f>IFERROR(TIME(M3,N3,0),"")</f>
        <v>0.8125</v>
      </c>
      <c r="S3" s="5">
        <f t="shared" ref="S3:S7" si="2">IFERROR(TIME(ABS(O3),ABS(P3),0),"")</f>
        <v>4.1666666666666664E-2</v>
      </c>
      <c r="T3" s="6">
        <f t="shared" si="0"/>
        <v>45666.8125</v>
      </c>
      <c r="U3" s="34">
        <f t="shared" ref="U3:U7" si="3">IFERROR(T3-Q3,"")</f>
        <v>45666.770833333336</v>
      </c>
      <c r="V3" s="8">
        <f>IFERROR(((24*(U2-U3))),"")</f>
        <v>39.499999999883585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378.36</v>
      </c>
      <c r="AA3" s="28">
        <f>IFERROR(NOON!B28,"")</f>
        <v>168027.1</v>
      </c>
      <c r="AB3" s="28">
        <f>IF($U$3="","",IF($U$4="",(X3+Y3)-(X2+Y2),""))</f>
        <v>0</v>
      </c>
      <c r="AC3" s="28">
        <f>IF($U$3="","",IF($U$4="",Z3-Z2,""))</f>
        <v>12.020000000000039</v>
      </c>
      <c r="AD3" s="28">
        <f>IF($U$3="","",IF($U$4="",AA3-AA2,""))</f>
        <v>475.20000000001164</v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/>
      </c>
      <c r="K4" s="3" t="str">
        <f>IF(LEN(NOON!F20)=8,IFERROR(MID(NOON!F20,3,2),""),IFERROR(MID(NOON!F20,2,2),""))</f>
        <v/>
      </c>
      <c r="L4" s="4" t="str">
        <f>IFERROR(RIGHT(NOON!F20,4),"")</f>
        <v/>
      </c>
      <c r="M4" s="3" t="str">
        <f>IFERROR(IF(LEN(NOON!F21)=3,LEFT(NOON!F21,1),IF(LEN(NOON!F21)=4,LEFT(NOON!F21,2),"")),"")</f>
        <v/>
      </c>
      <c r="N4" s="3" t="str">
        <f>IFERROR(RIGHT(NOON!F21,2),"")</f>
        <v/>
      </c>
      <c r="O4" s="3" t="str">
        <f>IFERROR(IF(LEN(NOON!G21)=3,LEFT(NOON!G21,1),IF(LEN(NOON!G21)=4,LEFT(NOON!G21,2),"")),"")</f>
        <v/>
      </c>
      <c r="P4" s="3" t="str">
        <f>IFERROR(RIGHT(NOON!G21,2),"")</f>
        <v/>
      </c>
      <c r="Q4" s="33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34" t="str">
        <f t="shared" si="3"/>
        <v/>
      </c>
      <c r="V4" s="8" t="str">
        <f>IFERROR(((24*(U4-U3))),"")</f>
        <v/>
      </c>
      <c r="W4" s="2" t="s">
        <v>82</v>
      </c>
      <c r="X4" s="28">
        <f>IFERROR(NOON!F25,"")</f>
        <v>0</v>
      </c>
      <c r="Y4" s="28">
        <f>IFERROR(NOON!F26,"")</f>
        <v>0</v>
      </c>
      <c r="Z4" s="28">
        <f>IFERROR(NOON!F27,"")</f>
        <v>0</v>
      </c>
      <c r="AA4" s="28">
        <f>IFERROR(NOON!F28,"")</f>
        <v>0</v>
      </c>
      <c r="AB4" s="28" t="str">
        <f>IF($U$4&lt;&gt;"",(X3+Y3)-(X4+Y4),"")</f>
        <v/>
      </c>
      <c r="AC4" s="28" t="str">
        <f>IF($U$4&lt;&gt;"",Z3-Z4,"")</f>
        <v/>
      </c>
      <c r="AD4" s="28" t="str">
        <f>IF($U$4&lt;&gt;"",AA3-AA4,"")</f>
        <v/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/>
      </c>
      <c r="K5" s="3" t="str">
        <f>IF(LEN(NOON!J21)=8,IFERROR(MID(NOON!J21,3,2),""),IFERROR(MID(NOON!J21,2,2),""))</f>
        <v/>
      </c>
      <c r="L5" s="4" t="str">
        <f>IFERROR(RIGHT(NOON!J21,4),"")</f>
        <v/>
      </c>
      <c r="M5" s="3" t="str">
        <f>IFERROR(IF(LEN(NOON!J22)=3,LEFT(NOON!J22,1),IF(LEN(NOON!J22)=4,LEFT(NOON!J22,2),"")),"")</f>
        <v/>
      </c>
      <c r="N5" s="3" t="str">
        <f>IFERROR(RIGHT(NOON!J22,2),"")</f>
        <v/>
      </c>
      <c r="O5" s="3" t="str">
        <f>IFERROR(IF(LEN(NOON!K22)=3,LEFT(NOON!K22,1),IF(LEN(NOON!K22)=4,LEFT(NOON!K22,2),"")),"")</f>
        <v/>
      </c>
      <c r="P5" s="3" t="str">
        <f>IFERROR(RIGHT(NOON!K22,2),"")</f>
        <v/>
      </c>
      <c r="Q5" s="33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34" t="str">
        <f t="shared" si="3"/>
        <v/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/>
      </c>
      <c r="K6" s="3" t="str">
        <f>IF(LEN(NOON!J25)=8,IFERROR(MID(NOON!J25,3,2),""),IFERROR(MID(NOON!J25,2,2),""))</f>
        <v/>
      </c>
      <c r="L6" s="4" t="str">
        <f>IFERROR(RIGHT(NOON!J25,4),"")</f>
        <v/>
      </c>
      <c r="M6" s="3" t="str">
        <f>IFERROR(IF(LEN(NOON!J26)=3,LEFT(NOON!J26,1),IF(LEN(NOON!J26)=4,LEFT(NOON!J26,2),"")),"")</f>
        <v/>
      </c>
      <c r="N6" s="3" t="str">
        <f>IFERROR(RIGHT(NOON!J26,2),"")</f>
        <v/>
      </c>
      <c r="O6" s="3" t="str">
        <f>IFERROR(IF(LEN(NOON!K26)=3,LEFT(NOON!K26,1),IF(LEN(NOON!K26)=4,LEFT(NOON!K26,2),"")),"")</f>
        <v/>
      </c>
      <c r="P6" s="3" t="str">
        <f>IFERROR(RIGHT(NOON!K26,2),"")</f>
        <v/>
      </c>
      <c r="Q6" s="33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34" t="str">
        <f t="shared" si="3"/>
        <v/>
      </c>
      <c r="V6" s="8" t="str">
        <f>IFERROR(((24*(U6-U5))),"")</f>
        <v/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13</v>
      </c>
      <c r="K7" s="3" t="str">
        <f>IF(LEN(NOON!J16)=8,IFERROR(MID(NOON!J16,3,2),""),IFERROR(MID(NOON!J16,2,2),""))</f>
        <v>10</v>
      </c>
      <c r="L7" s="4" t="str">
        <f>IFERROR(RIGHT(NOON!J16,4),"")</f>
        <v>2025</v>
      </c>
      <c r="M7" s="3" t="str">
        <f>IFERROR(IF(LEN(NOON!J17)=3,LEFT(NOON!J17,1),IF(LEN(NOON!J17)=4,LEFT(NOON!J17,2),"")),"")</f>
        <v>8</v>
      </c>
      <c r="N7" s="3" t="str">
        <f>IFERROR(RIGHT(NOON!J17,2),"")</f>
        <v>00</v>
      </c>
      <c r="O7" s="3" t="str">
        <f>IFERROR(IF(LEN(NOON!K17)=3,LEFT(NOON!K17,1),IF(LEN(NOON!K17)=4,LEFT(NOON!K17,2),"")),"")</f>
        <v>3</v>
      </c>
      <c r="P7" s="3" t="str">
        <f>IFERROR(RIGHT(NOON!K17,2),"")</f>
        <v>00</v>
      </c>
      <c r="Q7" s="33">
        <f t="shared" si="1"/>
        <v>0.125</v>
      </c>
      <c r="R7" s="5">
        <f t="shared" si="4"/>
        <v>0.33333333333333331</v>
      </c>
      <c r="S7" s="5">
        <f t="shared" si="2"/>
        <v>0.125</v>
      </c>
      <c r="T7" s="6">
        <f t="shared" si="0"/>
        <v>45943.333333333336</v>
      </c>
      <c r="U7" s="34">
        <f t="shared" si="3"/>
        <v>45943.208333333336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 t="str">
        <f>IF(DATA!AD20&lt;&gt;"",DATA!AD20,DATA!AD4)</f>
        <v/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2024-04-24T11:53:07Z</cp:lastPrinted>
  <dcterms:created xsi:type="dcterms:W3CDTF">2023-11-13T10:14:48Z</dcterms:created>
  <dcterms:modified xsi:type="dcterms:W3CDTF">2025-01-11T10:19:05Z</dcterms:modified>
</cp:coreProperties>
</file>