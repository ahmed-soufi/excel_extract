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<sst xmlns="http://schemas.openxmlformats.org/spreadsheetml/2006/main" count="225" uniqueCount="164">
  <si>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</si>
  <si>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</si>
  <si>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</si>
  <si>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</si>
  <si>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</si>
  <si>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</si>
  <si>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</si>
  <si>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</si>
  <si>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</si>
  <si>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</si>
  <si>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</si>
  <si>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</si>
  <si>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</si>
  <si>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</si>
  <si>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</si>
  <si>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</si>
  <si>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</si>
  <si>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</si>
  <si>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</si>
  <si>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</si>
  <si>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</si>
  <si>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</si>
  <si>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</si>
  <si>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</si>
  <si>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</si>
  <si>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</si>
  <si>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</si>
  <si>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</si>
  <si>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</si>
  <si>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</si>
  <si>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</si>
  <si>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</si>
  <si>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</si>
  <si>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</si>
  <si>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</si>
  <si>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</si>
  <si>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</si>
  <si>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</si>
  <si>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</si>
  <si>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</si>
  <si>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</si>
  <si>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</si>
  <si>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</si>
  <si>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</si>
  <si>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</si>
  <si>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</si>
  <si>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</si>
  <si>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</si>
  <si>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</si>
  <si>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</si>
  <si>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</si>
  <si>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</si>
  <si>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</si>
  <si>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</si>
  <si>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</si>
  <si>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</si>
  <si>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</si>
  <si>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</si>
  <si>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</si>
  <si>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</si>
  <si>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</si>
  <si>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</si>
  <si>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</si>
  <si>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</si>
  <si>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</si>
  <si>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</si>
  <si>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</si>
  <si>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</si>
  <si>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</si>
  <si>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</si>
  <si>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</si>
  <si>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</si>
  <si>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</si>
  <si>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</si>
  <si>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</si>
  <si>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</si>
  <si>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</si>
  <si>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</si>
  <si>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</si>
  <si>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</si>
  <si>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</si>
  <si>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</si>
  <si>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</si>
  <si>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</si>
  <si>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</si>
  <si>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</si>
  <si>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</si>
  <si>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</si>
  <si>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</si>
  <si>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</si>
  <si>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</si>
  <si>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</si>
  <si>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</si>
  <si>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</si>
  <si>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</si>
  <si>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</si>
  <si>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</si>
  <si>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</si>
  <si>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</si>
  <si>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</si>
  <si>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</si>
  <si>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</si>
  <si>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</si>
  <si>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</si>
  <si>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</si>
  <si>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</si>
  <si>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</si>
  <si>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</si>
  <si>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</si>
  <si>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</si>
  <si>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</si>
  <si>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</si>
  <si>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</si>
  <si>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</si>
  <si>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</si>
  <si>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</si>
  <si>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</si>
  <si>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</si>
  <si>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</si>
  <si>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</si>
  <si>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</si>
  <si>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</si>
  <si>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</si>
  <si>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</si>
  <si>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</si>
  <si>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</si>
  <si>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</si>
  <si>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</si>
  <si>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</si>
  <si>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</si>
  <si>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</si>
  <si>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</si>
  <si>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</si>
  <si>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</si>
  <si>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</si>
  <si>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</si>
  <si>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</si>
  <si>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</si>
  <si>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</si>
  <si>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</si>
  <si>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</si>
  <si>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</si>
  <si>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</si>
  <si>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</si>
  <si>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</si>
  <si>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</si>
  <si>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</si>
  <si>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</si>
  <si>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</si>
  <si>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</si>
  <si>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</si>
  <si>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</si>
  <si>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</si>
  <si>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</si>
  <si>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</si>
  <si>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</si>
  <si>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</si>
  <si>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</si>
  <si>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</si>
  <si>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</si>
  <si>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</si>
  <si>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</si>
  <si>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02/25</t>
  </si>
  <si>
    <t>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</si>
</sst>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3" sqref="B13:C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/>
      <c r="G7" s="56"/>
      <c r="I7" s="29" t="s">
        <v>24</v>
      </c>
      <c r="J7" s="68">
        <v>365.29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167202.70000000001</v>
      </c>
      <c r="K8" s="67"/>
    </row>
    <row r="9" spans="1:11" ht="15" customHeight="1" x14ac:dyDescent="0.25">
      <c r="A9" s="29" t="s">
        <v>0</v>
      </c>
      <c r="B9" s="62">
        <v>12012025</v>
      </c>
      <c r="C9" s="62"/>
      <c r="E9" s="29" t="s">
        <v>76</v>
      </c>
      <c r="F9" s="12">
        <v>-161.47</v>
      </c>
      <c r="G9" s="12"/>
      <c r="I9" s="29" t="s">
        <v>51</v>
      </c>
      <c r="J9" s="72">
        <v>62577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300</v>
      </c>
      <c r="E10" s="29" t="s">
        <v>75</v>
      </c>
      <c r="F10" s="12">
        <v>-161.52000000000001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36041</v>
      </c>
      <c r="C11" s="61"/>
      <c r="E11" s="29" t="s">
        <v>77</v>
      </c>
      <c r="F11" s="12">
        <v>-161.51</v>
      </c>
      <c r="G11" s="12"/>
      <c r="I11" s="29" t="s">
        <v>138</v>
      </c>
      <c r="J11" s="65">
        <v>66</v>
      </c>
      <c r="K11" s="65"/>
    </row>
    <row r="12" spans="1:11" ht="15" customHeight="1" x14ac:dyDescent="0.25">
      <c r="A12" s="29" t="s">
        <v>4</v>
      </c>
      <c r="B12" s="58">
        <v>-33111</v>
      </c>
      <c r="C12" s="59"/>
      <c r="E12" s="29" t="s">
        <v>78</v>
      </c>
      <c r="F12" s="12">
        <v>-161.5</v>
      </c>
      <c r="G12" s="12"/>
      <c r="I12" s="29" t="s">
        <v>48</v>
      </c>
      <c r="J12" s="70">
        <v>124158501</v>
      </c>
      <c r="K12" s="71"/>
    </row>
    <row r="13" spans="1:11" ht="15" customHeight="1" x14ac:dyDescent="0.25">
      <c r="A13" s="29" t="s">
        <v>3</v>
      </c>
      <c r="B13" s="57">
        <v>43</v>
      </c>
      <c r="C13" s="57"/>
      <c r="E13" s="36" t="s">
        <v>158</v>
      </c>
      <c r="F13" s="36"/>
      <c r="G13" s="36"/>
      <c r="I13" s="29" t="s">
        <v>46</v>
      </c>
      <c r="J13" s="70">
        <v>123965245</v>
      </c>
      <c r="K13" s="71"/>
    </row>
    <row r="14" spans="1:11" ht="15" customHeight="1" x14ac:dyDescent="0.25">
      <c r="A14" s="29" t="s">
        <v>137</v>
      </c>
      <c r="B14" s="54">
        <v>18.5</v>
      </c>
      <c r="C14" s="54"/>
      <c r="E14" s="29" t="s">
        <v>76</v>
      </c>
      <c r="F14" s="11">
        <v>1076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1198</v>
      </c>
      <c r="C15" s="53"/>
      <c r="E15" s="29" t="s">
        <v>75</v>
      </c>
      <c r="F15" s="11">
        <v>1074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322</v>
      </c>
      <c r="C16" s="53"/>
      <c r="E16" s="29" t="s">
        <v>77</v>
      </c>
      <c r="F16" s="11">
        <v>1073</v>
      </c>
      <c r="G16" s="11"/>
      <c r="I16" s="29" t="s">
        <v>0</v>
      </c>
      <c r="J16" s="62">
        <v>13102025</v>
      </c>
      <c r="K16" s="62"/>
    </row>
    <row r="17" spans="1:11" ht="15" customHeight="1" x14ac:dyDescent="0.25">
      <c r="A17" s="29" t="s">
        <v>49</v>
      </c>
      <c r="B17" s="53">
        <v>278907</v>
      </c>
      <c r="C17" s="53"/>
      <c r="E17" s="29" t="s">
        <v>78</v>
      </c>
      <c r="F17" s="11">
        <v>1076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9012025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1930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28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277755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378.36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168027.1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1170</v>
      </c>
      <c r="C31" s="40"/>
      <c r="E31" s="31" t="s">
        <v>56</v>
      </c>
      <c r="F31" s="51">
        <f>IF(B32="",DATA!V3,"")</f>
        <v>62.499999999941792</v>
      </c>
      <c r="G31" s="51"/>
      <c r="I31" s="31" t="s">
        <v>57</v>
      </c>
      <c r="J31" s="48">
        <f>IFERROR(ROUND(B31/F31,1),"")</f>
        <v>18.7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13.069999999999993</v>
      </c>
      <c r="G33" s="39"/>
      <c r="I33" s="32" t="s">
        <v>146</v>
      </c>
      <c r="J33" s="44">
        <f>IF(DATA!AD3&lt;&gt;"",DATA!AD3,DATA!AD4)</f>
        <v>824.39999999999418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12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3</v>
      </c>
      <c r="P2" s="3" t="str">
        <f>IFERROR(RIGHT(NOON!C10,2),"")</f>
        <v>00</v>
      </c>
      <c r="Q2" s="33">
        <f>IFERROR(S2*SIGN(O2),"")</f>
        <v>0.125</v>
      </c>
      <c r="R2" s="5">
        <f>IFERROR(TIME(M2,N2,0),"")</f>
        <v>0.5</v>
      </c>
      <c r="S2" s="5">
        <f>IFERROR(TIME(ABS(O2),ABS(P2),0),"")</f>
        <v>0.125</v>
      </c>
      <c r="T2" s="6">
        <f t="shared" ref="T2:T7" si="0">IFERROR(DATE(L2,K2,J2)+R2,"")</f>
        <v>45669.5</v>
      </c>
      <c r="U2" s="34">
        <f>IFERROR(T2-Q2,"")</f>
        <v>45669.375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365.29</v>
      </c>
      <c r="AA2" s="28">
        <f>IFERROR(NOON!J8,"")</f>
        <v>167202.70000000001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9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19</v>
      </c>
      <c r="N3" s="3" t="str">
        <f>IFERROR(RIGHT(NOON!B21,2),"")</f>
        <v>30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0.8125</v>
      </c>
      <c r="S3" s="5">
        <f t="shared" ref="S3:S7" si="2">IFERROR(TIME(ABS(O3),ABS(P3),0),"")</f>
        <v>4.1666666666666664E-2</v>
      </c>
      <c r="T3" s="6">
        <f t="shared" si="0"/>
        <v>45666.8125</v>
      </c>
      <c r="U3" s="34">
        <f t="shared" ref="U3:U7" si="3">IFERROR(T3-Q3,"")</f>
        <v>45666.770833333336</v>
      </c>
      <c r="V3" s="8">
        <f>IFERROR(((24*(U2-U3))),"")</f>
        <v>62.499999999941792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378.36</v>
      </c>
      <c r="AA3" s="28">
        <f>IFERROR(NOON!B28,"")</f>
        <v>168027.1</v>
      </c>
      <c r="AB3" s="28">
        <f>IF($U$3="","",IF($U$4="",(X3+Y3)-(X2+Y2),""))</f>
        <v>0</v>
      </c>
      <c r="AC3" s="28">
        <f>IF($U$3="","",IF($U$4="",Z3-Z2,""))</f>
        <v>13.069999999999993</v>
      </c>
      <c r="AD3" s="28">
        <f>IF($U$3="","",IF($U$4="",AA3-AA2,""))</f>
        <v>824.39999999999418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13</v>
      </c>
      <c r="K7" s="3" t="str">
        <f>IF(LEN(NOON!J16)=8,IFERROR(MID(NOON!J16,3,2),""),IFERROR(MID(NOON!J16,2,2),""))</f>
        <v>10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45943.333333333336</v>
      </c>
      <c r="U7" s="34">
        <f t="shared" si="3"/>
        <v>45943.208333333336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2025-01-12T09:18:07Z</dcterms:modified>
</cp:coreProperties>
</file>