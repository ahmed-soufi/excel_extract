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4000" windowHeight="9135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U23" i="3"/>
  <c r="U6" i="3"/>
  <c r="U20" i="3"/>
  <c r="V21" i="3" s="1"/>
  <c r="U5" i="3"/>
  <c r="U4" i="3"/>
  <c r="AB4" i="3" s="1"/>
  <c r="U2" i="3"/>
  <c r="U7" i="3"/>
  <c r="U3" i="3"/>
  <c r="AB21" i="3"/>
  <c r="AD21" i="3"/>
  <c r="AC21" i="3"/>
  <c r="U22" i="3"/>
  <c r="V23" i="3" l="1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<sst xmlns="http://schemas.openxmlformats.org/spreadsheetml/2006/main" count="226" uniqueCount="165">
  <si>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</si>
  <si>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</si>
  <si>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</si>
  <si>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</si>
  <si>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</si>
  <si>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</si>
  <si>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</si>
  <si>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</si>
  <si>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</si>
  <si>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</si>
  <si>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</si>
  <si>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</si>
  <si>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</si>
  <si>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</si>
  <si>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</si>
  <si>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</si>
  <si>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</si>
  <si>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</si>
  <si>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</si>
  <si>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</si>
  <si>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</si>
  <si>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</si>
  <si>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</si>
  <si>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</si>
  <si>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</si>
  <si>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</si>
  <si>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</si>
  <si>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</si>
  <si>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</si>
  <si>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</si>
  <si>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</si>
  <si>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</si>
  <si>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</si>
  <si>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</si>
  <si>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</si>
  <si>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</si>
  <si>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</si>
  <si>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</si>
  <si>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</si>
  <si>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</si>
  <si>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</si>
  <si>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</si>
  <si>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</si>
  <si>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</si>
  <si>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</si>
  <si>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</si>
  <si>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</si>
  <si>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</si>
  <si>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</si>
  <si>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</si>
  <si>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</si>
  <si>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</si>
  <si>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</si>
  <si>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</si>
  <si>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</si>
  <si>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</si>
  <si>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</si>
  <si>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</si>
  <si>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</si>
  <si>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</si>
  <si>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</si>
  <si>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</si>
  <si>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</si>
  <si>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</si>
  <si>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</si>
  <si>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</si>
  <si>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</si>
  <si>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</si>
  <si>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</si>
  <si>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</si>
  <si>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</si>
  <si>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</si>
  <si>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</si>
  <si>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</si>
  <si>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</si>
  <si>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</si>
  <si>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</si>
  <si>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</si>
  <si>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</si>
  <si>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</si>
  <si>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</si>
  <si>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</si>
  <si>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</si>
  <si>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</si>
  <si>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</si>
  <si>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</si>
  <si>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</si>
  <si>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</si>
  <si>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</si>
  <si>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</si>
  <si>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</si>
  <si>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</si>
  <si>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</si>
  <si>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</si>
  <si>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</si>
  <si>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</si>
  <si>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</si>
  <si>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</si>
  <si>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</si>
  <si>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</si>
  <si>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</si>
  <si>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</si>
  <si>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</si>
  <si>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</si>
  <si>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</si>
  <si>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</si>
  <si>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</si>
  <si>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</si>
  <si>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</si>
  <si>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</si>
  <si>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</si>
  <si>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</si>
  <si>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</si>
  <si>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</si>
  <si>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</si>
  <si>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</si>
  <si>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</si>
  <si>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</si>
  <si>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</si>
  <si>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</si>
  <si>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</si>
  <si>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</si>
  <si>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</si>
  <si>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</si>
  <si>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</si>
  <si>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</si>
  <si>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</si>
  <si>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</si>
  <si>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</si>
  <si>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</si>
  <si>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</si>
  <si>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</si>
  <si>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</si>
  <si>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</si>
  <si>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</si>
  <si>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</si>
  <si>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</si>
  <si>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</si>
  <si>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</si>
  <si>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</si>
  <si>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</si>
  <si>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</si>
  <si>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</si>
  <si>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</si>
  <si>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</si>
  <si>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</si>
  <si>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</si>
  <si>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</si>
  <si>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</si>
  <si>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</si>
  <si>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</si>
  <si>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</si>
  <si>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</si>
  <si>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</si>
  <si>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</si>
  <si>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</si>
  <si>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</si>
  <si>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</si>
  <si>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</si>
  <si>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</si>
  <si>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</si>
  <si>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TRMAR</t>
  </si>
  <si>
    <t>03/25</t>
  </si>
  <si>
    <t>NE/4</t>
  </si>
  <si>
    <t>DZAZW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</si>
</sst>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J12" sqref="J12:K12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27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3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162</v>
      </c>
      <c r="C7" s="55"/>
      <c r="E7" s="29" t="s">
        <v>47</v>
      </c>
      <c r="F7" s="56"/>
      <c r="G7" s="56"/>
      <c r="I7" s="29" t="s">
        <v>24</v>
      </c>
      <c r="J7" s="68">
        <v>338.04</v>
      </c>
      <c r="K7" s="68"/>
    </row>
    <row r="8" spans="1:11" ht="15" customHeight="1" x14ac:dyDescent="0.25">
      <c r="A8" s="29" t="s">
        <v>6</v>
      </c>
      <c r="B8" s="55" t="s">
        <v>164</v>
      </c>
      <c r="C8" s="55"/>
      <c r="E8" s="36" t="s">
        <v>73</v>
      </c>
      <c r="F8" s="36"/>
      <c r="G8" s="36"/>
      <c r="I8" s="29" t="s">
        <v>34</v>
      </c>
      <c r="J8" s="67">
        <v>2903.4</v>
      </c>
      <c r="K8" s="67"/>
    </row>
    <row r="9" spans="1:11" ht="15" customHeight="1" x14ac:dyDescent="0.25">
      <c r="A9" s="29" t="s">
        <v>0</v>
      </c>
      <c r="B9" s="62">
        <v>17012025</v>
      </c>
      <c r="C9" s="62"/>
      <c r="E9" s="29" t="s">
        <v>76</v>
      </c>
      <c r="F9" s="12">
        <v>-158.91</v>
      </c>
      <c r="G9" s="12"/>
      <c r="I9" s="29" t="s">
        <v>51</v>
      </c>
      <c r="J9" s="72">
        <v>61977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300</v>
      </c>
      <c r="E10" s="29" t="s">
        <v>75</v>
      </c>
      <c r="F10" s="12">
        <v>-159.09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40015</v>
      </c>
      <c r="C11" s="61"/>
      <c r="E11" s="29" t="s">
        <v>77</v>
      </c>
      <c r="F11" s="12">
        <v>159.1</v>
      </c>
      <c r="G11" s="12"/>
      <c r="I11" s="29" t="s">
        <v>138</v>
      </c>
      <c r="J11" s="65">
        <v>45</v>
      </c>
      <c r="K11" s="65"/>
    </row>
    <row r="12" spans="1:11" ht="15" customHeight="1" x14ac:dyDescent="0.25">
      <c r="A12" s="29" t="s">
        <v>4</v>
      </c>
      <c r="B12" s="58">
        <v>-26088</v>
      </c>
      <c r="C12" s="59"/>
      <c r="E12" s="29" t="s">
        <v>78</v>
      </c>
      <c r="F12" s="12">
        <v>-158.88999999999999</v>
      </c>
      <c r="G12" s="12"/>
      <c r="I12" s="29" t="s">
        <v>48</v>
      </c>
      <c r="J12" s="70">
        <v>124313120</v>
      </c>
      <c r="K12" s="71"/>
    </row>
    <row r="13" spans="1:11" ht="15" customHeight="1" x14ac:dyDescent="0.25">
      <c r="A13" s="29" t="s">
        <v>3</v>
      </c>
      <c r="B13" s="57">
        <v>263</v>
      </c>
      <c r="C13" s="57"/>
      <c r="E13" s="36" t="s">
        <v>158</v>
      </c>
      <c r="F13" s="36"/>
      <c r="G13" s="36"/>
      <c r="I13" s="29" t="s">
        <v>46</v>
      </c>
      <c r="J13" s="70">
        <v>124119658</v>
      </c>
      <c r="K13" s="71"/>
    </row>
    <row r="14" spans="1:11" ht="15" customHeight="1" x14ac:dyDescent="0.25">
      <c r="A14" s="29" t="s">
        <v>137</v>
      </c>
      <c r="B14" s="54">
        <v>16</v>
      </c>
      <c r="C14" s="54"/>
      <c r="E14" s="29" t="s">
        <v>76</v>
      </c>
      <c r="F14" s="11">
        <v>1224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116</v>
      </c>
      <c r="C15" s="53"/>
      <c r="E15" s="29" t="s">
        <v>75</v>
      </c>
      <c r="F15" s="11">
        <v>1221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1511</v>
      </c>
      <c r="C16" s="53"/>
      <c r="E16" s="29" t="s">
        <v>77</v>
      </c>
      <c r="F16" s="11">
        <v>1220</v>
      </c>
      <c r="G16" s="11"/>
      <c r="I16" s="29" t="s">
        <v>0</v>
      </c>
      <c r="J16" s="62">
        <v>21012025</v>
      </c>
      <c r="K16" s="62"/>
    </row>
    <row r="17" spans="1:11" ht="15" customHeight="1" x14ac:dyDescent="0.25">
      <c r="A17" s="29" t="s">
        <v>49</v>
      </c>
      <c r="B17" s="53">
        <v>279578.42</v>
      </c>
      <c r="C17" s="53"/>
      <c r="E17" s="29" t="s">
        <v>78</v>
      </c>
      <c r="F17" s="11">
        <v>1224</v>
      </c>
      <c r="G17" s="11"/>
      <c r="I17" s="29" t="s">
        <v>53</v>
      </c>
      <c r="J17" s="9">
        <v>815</v>
      </c>
      <c r="K17" s="10">
        <v>100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/>
      <c r="C20" s="79"/>
      <c r="E20" s="29" t="s">
        <v>37</v>
      </c>
      <c r="F20" s="46"/>
      <c r="G20" s="47"/>
      <c r="I20" s="29" t="s">
        <v>1</v>
      </c>
      <c r="J20" s="50" t="s">
        <v>161</v>
      </c>
      <c r="K20" s="50"/>
    </row>
    <row r="21" spans="1:11" ht="15" customHeight="1" x14ac:dyDescent="0.25">
      <c r="A21" s="29" t="s">
        <v>53</v>
      </c>
      <c r="B21" s="16"/>
      <c r="C21" s="17"/>
      <c r="E21" s="29" t="s">
        <v>53</v>
      </c>
      <c r="F21" s="14"/>
      <c r="G21" s="15"/>
      <c r="I21" s="29" t="s">
        <v>41</v>
      </c>
      <c r="J21" s="78">
        <v>15012025</v>
      </c>
      <c r="K21" s="78"/>
    </row>
    <row r="22" spans="1:11" ht="15" customHeight="1" x14ac:dyDescent="0.25">
      <c r="A22" s="29" t="s">
        <v>31</v>
      </c>
      <c r="B22" s="37"/>
      <c r="C22" s="37"/>
      <c r="D22" s="30"/>
      <c r="E22" s="29" t="s">
        <v>30</v>
      </c>
      <c r="F22" s="45"/>
      <c r="G22" s="45"/>
      <c r="H22" s="30"/>
      <c r="I22" s="29" t="s">
        <v>53</v>
      </c>
      <c r="J22" s="13">
        <v>1440</v>
      </c>
      <c r="K22" s="18">
        <v>300</v>
      </c>
    </row>
    <row r="23" spans="1:11" ht="15" customHeight="1" x14ac:dyDescent="0.25">
      <c r="A23" s="29" t="s">
        <v>136</v>
      </c>
      <c r="B23" s="37"/>
      <c r="C23" s="37"/>
      <c r="D23" s="30"/>
      <c r="E23" s="29" t="s">
        <v>135</v>
      </c>
      <c r="F23" s="45"/>
      <c r="G23" s="45"/>
      <c r="H23" s="30"/>
      <c r="I23" s="29" t="s">
        <v>42</v>
      </c>
      <c r="J23" s="77">
        <v>2</v>
      </c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/>
      <c r="C25" s="43"/>
      <c r="D25" s="30"/>
      <c r="E25" s="29" t="s">
        <v>32</v>
      </c>
      <c r="F25" s="38"/>
      <c r="G25" s="38"/>
      <c r="H25" s="30"/>
      <c r="I25" s="29" t="s">
        <v>44</v>
      </c>
      <c r="J25" s="78">
        <v>16012025</v>
      </c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>
        <v>2145</v>
      </c>
      <c r="K26" s="18">
        <v>300</v>
      </c>
    </row>
    <row r="27" spans="1:11" ht="15" customHeight="1" x14ac:dyDescent="0.25">
      <c r="A27" s="29" t="s">
        <v>24</v>
      </c>
      <c r="B27" s="43"/>
      <c r="C27" s="43"/>
      <c r="D27" s="30"/>
      <c r="E27" s="29" t="s">
        <v>24</v>
      </c>
      <c r="F27" s="38"/>
      <c r="G27" s="38"/>
      <c r="H27" s="30"/>
      <c r="I27" s="29" t="s">
        <v>43</v>
      </c>
      <c r="J27" s="77">
        <v>2</v>
      </c>
      <c r="K27" s="77"/>
    </row>
    <row r="28" spans="1:11" ht="15" customHeight="1" x14ac:dyDescent="0.25">
      <c r="A28" s="29" t="s">
        <v>34</v>
      </c>
      <c r="B28" s="42"/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 t="str">
        <f>IF(B22="","",IF(F22&lt;&gt;"","",B15-B22))</f>
        <v/>
      </c>
      <c r="C31" s="40"/>
      <c r="E31" s="31" t="s">
        <v>56</v>
      </c>
      <c r="F31" s="51" t="str">
        <f>IF(B32="",DATA!V3,"")</f>
        <v/>
      </c>
      <c r="G31" s="51"/>
      <c r="I31" s="31" t="s">
        <v>57</v>
      </c>
      <c r="J31" s="48" t="str">
        <f>IFERROR(ROUND(B31/F31,1),"")</f>
        <v/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 t="str">
        <f>IF(DATA!AB3&lt;&gt;"",DATA!AB3,DATA!AB4)</f>
        <v/>
      </c>
      <c r="C33" s="39"/>
      <c r="E33" s="32" t="s">
        <v>145</v>
      </c>
      <c r="F33" s="39" t="str">
        <f>IF(DATA!AC3&lt;&gt;"",DATA!AC3,DATA!AC4)</f>
        <v/>
      </c>
      <c r="G33" s="39"/>
      <c r="I33" s="32" t="s">
        <v>146</v>
      </c>
      <c r="J33" s="44" t="str">
        <f>IF(DATA!AD3&lt;&gt;"",DATA!AD3,DATA!AD4)</f>
        <v/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17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3</v>
      </c>
      <c r="P2" s="3" t="str">
        <f>IFERROR(RIGHT(NOON!C10,2),"")</f>
        <v>00</v>
      </c>
      <c r="Q2" s="33">
        <f>IFERROR(S2*SIGN(O2),"")</f>
        <v>0.125</v>
      </c>
      <c r="R2" s="5">
        <f>IFERROR(TIME(M2,N2,0),"")</f>
        <v>0.5</v>
      </c>
      <c r="S2" s="5">
        <f>IFERROR(TIME(ABS(O2),ABS(P2),0),"")</f>
        <v>0.125</v>
      </c>
      <c r="T2" s="6">
        <f t="shared" ref="T2:T7" si="0">IFERROR(DATE(L2,K2,J2)+R2,"")</f>
        <v>45674.5</v>
      </c>
      <c r="U2" s="34">
        <f>IFERROR(T2-Q2,"")</f>
        <v>45674.375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338.04</v>
      </c>
      <c r="AA2" s="28">
        <f>IFERROR(NOON!J8,"")</f>
        <v>2903.4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/>
      </c>
      <c r="K3" s="3" t="str">
        <f>IF(LEN(NOON!B20)=8,IFERROR(MID(NOON!B20,3,2),""),IFERROR(MID(NOON!B20,2,2),""))</f>
        <v/>
      </c>
      <c r="L3" s="4" t="str">
        <f>IFERROR(RIGHT(NOON!B20,4),"")</f>
        <v/>
      </c>
      <c r="M3" s="3" t="str">
        <f>IFERROR(IF(LEN(NOON!B21)=3,LEFT(NOON!B21,1),IF(LEN(NOON!B21)=4,LEFT(NOON!B21,2),"")),"")</f>
        <v/>
      </c>
      <c r="N3" s="3" t="str">
        <f>IFERROR(RIGHT(NOON!B21,2),"")</f>
        <v/>
      </c>
      <c r="O3" s="3" t="str">
        <f>IFERROR(IF(LEN(NOON!C21)=3,LEFT(NOON!C21,1),IF(LEN(NOON!C21)=4,LEFT(NOON!C21,2),"")),"")</f>
        <v/>
      </c>
      <c r="P3" s="3" t="str">
        <f>IFERROR(RIGHT(NOON!C21,2),"")</f>
        <v/>
      </c>
      <c r="Q3" s="33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34" t="str">
        <f t="shared" ref="U3:U7" si="3">IFERROR(T3-Q3,"")</f>
        <v/>
      </c>
      <c r="V3" s="8" t="str">
        <f>IFERROR(((24*(U2-U3))),"")</f>
        <v/>
      </c>
      <c r="W3" s="2" t="s">
        <v>81</v>
      </c>
      <c r="X3" s="28">
        <f>IFERROR(NOON!B25,"")</f>
        <v>0</v>
      </c>
      <c r="Y3" s="28">
        <f>IFERROR(NOON!B26,"")</f>
        <v>0</v>
      </c>
      <c r="Z3" s="28">
        <f>IFERROR(NOON!B27,"")</f>
        <v>0</v>
      </c>
      <c r="AA3" s="28">
        <f>IFERROR(NOON!B28,"")</f>
        <v>0</v>
      </c>
      <c r="AB3" s="28" t="str">
        <f>IF($U$3="","",IF($U$4="",(X3+Y3)-(X2+Y2),""))</f>
        <v/>
      </c>
      <c r="AC3" s="28" t="str">
        <f>IF($U$3="","",IF($U$4="",Z3-Z2,""))</f>
        <v/>
      </c>
      <c r="AD3" s="28" t="str">
        <f>IF($U$3="","",IF($U$4="",AA3-AA2,""))</f>
        <v/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>15</v>
      </c>
      <c r="K5" s="3" t="str">
        <f>IF(LEN(NOON!J21)=8,IFERROR(MID(NOON!J21,3,2),""),IFERROR(MID(NOON!J21,2,2),""))</f>
        <v>01</v>
      </c>
      <c r="L5" s="4" t="str">
        <f>IFERROR(RIGHT(NOON!J21,4),"")</f>
        <v>2025</v>
      </c>
      <c r="M5" s="3" t="str">
        <f>IFERROR(IF(LEN(NOON!J22)=3,LEFT(NOON!J22,1),IF(LEN(NOON!J22)=4,LEFT(NOON!J22,2),"")),"")</f>
        <v>14</v>
      </c>
      <c r="N5" s="3" t="str">
        <f>IFERROR(RIGHT(NOON!J22,2),"")</f>
        <v>40</v>
      </c>
      <c r="O5" s="3" t="str">
        <f>IFERROR(IF(LEN(NOON!K22)=3,LEFT(NOON!K22,1),IF(LEN(NOON!K22)=4,LEFT(NOON!K22,2),"")),"")</f>
        <v>3</v>
      </c>
      <c r="P5" s="3" t="str">
        <f>IFERROR(RIGHT(NOON!K22,2),"")</f>
        <v>00</v>
      </c>
      <c r="Q5" s="33">
        <f t="shared" si="1"/>
        <v>0.125</v>
      </c>
      <c r="R5" s="5">
        <f t="shared" si="4"/>
        <v>0.61111111111111105</v>
      </c>
      <c r="S5" s="5">
        <f t="shared" si="2"/>
        <v>0.125</v>
      </c>
      <c r="T5" s="6">
        <f t="shared" si="0"/>
        <v>45672.611111111109</v>
      </c>
      <c r="U5" s="34">
        <f t="shared" si="3"/>
        <v>45672.486111111109</v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>16</v>
      </c>
      <c r="K6" s="3" t="str">
        <f>IF(LEN(NOON!J25)=8,IFERROR(MID(NOON!J25,3,2),""),IFERROR(MID(NOON!J25,2,2),""))</f>
        <v>01</v>
      </c>
      <c r="L6" s="4" t="str">
        <f>IFERROR(RIGHT(NOON!J25,4),"")</f>
        <v>2025</v>
      </c>
      <c r="M6" s="3" t="str">
        <f>IFERROR(IF(LEN(NOON!J26)=3,LEFT(NOON!J26,1),IF(LEN(NOON!J26)=4,LEFT(NOON!J26,2),"")),"")</f>
        <v>21</v>
      </c>
      <c r="N6" s="3" t="str">
        <f>IFERROR(RIGHT(NOON!J26,2),"")</f>
        <v>45</v>
      </c>
      <c r="O6" s="3" t="str">
        <f>IFERROR(IF(LEN(NOON!K26)=3,LEFT(NOON!K26,1),IF(LEN(NOON!K26)=4,LEFT(NOON!K26,2),"")),"")</f>
        <v>3</v>
      </c>
      <c r="P6" s="3" t="str">
        <f>IFERROR(RIGHT(NOON!K26,2),"")</f>
        <v>00</v>
      </c>
      <c r="Q6" s="33">
        <f t="shared" si="1"/>
        <v>0.125</v>
      </c>
      <c r="R6" s="5">
        <f t="shared" si="4"/>
        <v>0.90625</v>
      </c>
      <c r="S6" s="5">
        <f t="shared" si="2"/>
        <v>0.125</v>
      </c>
      <c r="T6" s="6">
        <f t="shared" si="0"/>
        <v>45673.90625</v>
      </c>
      <c r="U6" s="34">
        <f t="shared" si="3"/>
        <v>45673.78125</v>
      </c>
      <c r="V6" s="8">
        <f>IFERROR(((24*(U6-U5))),"")</f>
        <v>31.083333333372138</v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21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15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0.34375</v>
      </c>
      <c r="S7" s="5">
        <f t="shared" si="2"/>
        <v>4.1666666666666664E-2</v>
      </c>
      <c r="T7" s="6">
        <f t="shared" si="0"/>
        <v>45678.34375</v>
      </c>
      <c r="U7" s="34">
        <f t="shared" si="3"/>
        <v>45678.302083333336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3Engineer</cp:lastModifiedBy>
  <cp:lastPrinted>2024-04-24T11:53:07Z</cp:lastPrinted>
  <dcterms:created xsi:type="dcterms:W3CDTF">2023-11-13T10:14:48Z</dcterms:created>
  <dcterms:modified xsi:type="dcterms:W3CDTF">2025-01-17T11:16:06Z</dcterms:modified>
</cp:coreProperties>
</file>