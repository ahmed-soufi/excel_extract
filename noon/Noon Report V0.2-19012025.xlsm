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11670" windowHeight="457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AB21" i="3"/>
  <c r="U22" i="3"/>
  <c r="AC21" i="3" l="1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<sst xmlns="http://schemas.openxmlformats.org/spreadsheetml/2006/main" count="226" uniqueCount="165">
  <si>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</si>
  <si>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</si>
  <si>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</si>
  <si>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</si>
  <si>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</si>
  <si>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</si>
  <si>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</si>
  <si>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</si>
  <si>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</si>
  <si>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</si>
  <si>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</si>
  <si>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</si>
  <si>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</si>
  <si>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</si>
  <si>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</si>
  <si>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</si>
  <si>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</si>
  <si>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</si>
  <si>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</si>
  <si>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</si>
  <si>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</si>
  <si>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</si>
  <si>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</si>
  <si>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</si>
  <si>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</si>
  <si>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</si>
  <si>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</si>
  <si>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</si>
  <si>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</si>
  <si>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</si>
  <si>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</si>
  <si>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</si>
  <si>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</si>
  <si>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</si>
  <si>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</si>
  <si>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</si>
  <si>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</si>
  <si>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</si>
  <si>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</si>
  <si>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</si>
  <si>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</si>
  <si>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</si>
  <si>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</si>
  <si>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</si>
  <si>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</si>
  <si>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</si>
  <si>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</si>
  <si>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</si>
  <si>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</si>
  <si>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</si>
  <si>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</si>
  <si>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</si>
  <si>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</si>
  <si>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</si>
  <si>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</si>
  <si>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</si>
  <si>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</si>
  <si>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</si>
  <si>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</si>
  <si>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</si>
  <si>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</si>
  <si>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</si>
  <si>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</si>
  <si>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</si>
  <si>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</si>
  <si>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</si>
  <si>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</si>
  <si>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</si>
  <si>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</si>
  <si>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</si>
  <si>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</si>
  <si>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</si>
  <si>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</si>
  <si>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</si>
  <si>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</si>
  <si>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</si>
  <si>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</si>
  <si>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</si>
  <si>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</si>
  <si>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</si>
  <si>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</si>
  <si>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</si>
  <si>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</si>
  <si>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</si>
  <si>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</si>
  <si>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</si>
  <si>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</si>
  <si>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</si>
  <si>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</si>
  <si>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</si>
  <si>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</si>
  <si>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</si>
  <si>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</si>
  <si>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</si>
  <si>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</si>
  <si>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</si>
  <si>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</si>
  <si>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</si>
  <si>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</si>
  <si>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</si>
  <si>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</si>
  <si>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</si>
  <si>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</si>
  <si>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</si>
  <si>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</si>
  <si>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</si>
  <si>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</si>
  <si>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</si>
  <si>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</si>
  <si>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</si>
  <si>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</si>
  <si>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</si>
  <si>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</si>
  <si>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</si>
  <si>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</si>
  <si>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</si>
  <si>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</si>
  <si>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</si>
  <si>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</si>
  <si>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</si>
  <si>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</si>
  <si>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</si>
  <si>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</si>
  <si>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</si>
  <si>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</si>
  <si>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</si>
  <si>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</si>
  <si>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</si>
  <si>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</si>
  <si>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</si>
  <si>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</si>
  <si>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</si>
  <si>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</si>
  <si>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</si>
  <si>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</si>
  <si>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</si>
  <si>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</si>
  <si>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</si>
  <si>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</si>
  <si>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</si>
  <si>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</si>
  <si>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</si>
  <si>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</si>
  <si>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</si>
  <si>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</si>
  <si>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</si>
  <si>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</si>
  <si>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</si>
  <si>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</si>
  <si>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</si>
  <si>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</si>
  <si>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</si>
  <si>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</si>
  <si>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</si>
  <si>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</si>
  <si>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</si>
  <si>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</si>
  <si>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</si>
  <si>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</si>
  <si>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</si>
  <si>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</si>
  <si>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</si>
  <si>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03/25</t>
  </si>
  <si>
    <t>DZAZW</t>
  </si>
  <si>
    <t>SSE/4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</si>
</sst>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11" zoomScale="130" zoomScaleNormal="130" zoomScaleSheetLayoutView="130" workbookViewId="0">
      <selection activeCell="F7" sqref="F7:G7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164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>
        <v>4</v>
      </c>
      <c r="G7" s="56"/>
      <c r="I7" s="29" t="s">
        <v>24</v>
      </c>
      <c r="J7" s="68">
        <v>335.6</v>
      </c>
      <c r="K7" s="68"/>
    </row>
    <row r="8" spans="1:11" ht="15" customHeight="1" x14ac:dyDescent="0.25">
      <c r="A8" s="29" t="s">
        <v>6</v>
      </c>
      <c r="B8" s="55" t="s">
        <v>163</v>
      </c>
      <c r="C8" s="55"/>
      <c r="E8" s="36" t="s">
        <v>73</v>
      </c>
      <c r="F8" s="36"/>
      <c r="G8" s="36"/>
      <c r="I8" s="29" t="s">
        <v>34</v>
      </c>
      <c r="J8" s="67">
        <v>2642.7</v>
      </c>
      <c r="K8" s="67"/>
    </row>
    <row r="9" spans="1:11" ht="15" customHeight="1" x14ac:dyDescent="0.25">
      <c r="A9" s="29" t="s">
        <v>0</v>
      </c>
      <c r="B9" s="62">
        <v>19012025</v>
      </c>
      <c r="C9" s="62"/>
      <c r="E9" s="29" t="s">
        <v>76</v>
      </c>
      <c r="F9" s="12">
        <v>-158.91999999999999</v>
      </c>
      <c r="G9" s="12"/>
      <c r="I9" s="29" t="s">
        <v>51</v>
      </c>
      <c r="J9" s="72">
        <v>61977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-158.91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36204</v>
      </c>
      <c r="C11" s="61"/>
      <c r="E11" s="29" t="s">
        <v>77</v>
      </c>
      <c r="F11" s="12">
        <v>-158.91999999999999</v>
      </c>
      <c r="G11" s="12"/>
      <c r="I11" s="29" t="s">
        <v>138</v>
      </c>
      <c r="J11" s="65">
        <v>51</v>
      </c>
      <c r="K11" s="65"/>
    </row>
    <row r="12" spans="1:11" ht="15" customHeight="1" x14ac:dyDescent="0.25">
      <c r="A12" s="29" t="s">
        <v>4</v>
      </c>
      <c r="B12" s="58">
        <v>-14453</v>
      </c>
      <c r="C12" s="59"/>
      <c r="E12" s="29" t="s">
        <v>78</v>
      </c>
      <c r="F12" s="12">
        <v>-158.47</v>
      </c>
      <c r="G12" s="12"/>
      <c r="I12" s="29" t="s">
        <v>48</v>
      </c>
      <c r="J12" s="70">
        <v>124393511</v>
      </c>
      <c r="K12" s="71"/>
    </row>
    <row r="13" spans="1:11" ht="15" customHeight="1" x14ac:dyDescent="0.25">
      <c r="A13" s="29" t="s">
        <v>3</v>
      </c>
      <c r="B13" s="57">
        <v>288</v>
      </c>
      <c r="C13" s="57"/>
      <c r="E13" s="36" t="s">
        <v>158</v>
      </c>
      <c r="F13" s="36"/>
      <c r="G13" s="36"/>
      <c r="I13" s="29" t="s">
        <v>46</v>
      </c>
      <c r="J13" s="70">
        <v>124200130</v>
      </c>
      <c r="K13" s="71"/>
    </row>
    <row r="14" spans="1:11" ht="15" customHeight="1" x14ac:dyDescent="0.25">
      <c r="A14" s="29" t="s">
        <v>137</v>
      </c>
      <c r="B14" s="54">
        <v>14</v>
      </c>
      <c r="C14" s="54"/>
      <c r="E14" s="29" t="s">
        <v>76</v>
      </c>
      <c r="F14" s="11">
        <v>1148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850</v>
      </c>
      <c r="C15" s="53"/>
      <c r="E15" s="29" t="s">
        <v>75</v>
      </c>
      <c r="F15" s="11">
        <v>1146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780</v>
      </c>
      <c r="C16" s="53"/>
      <c r="E16" s="29" t="s">
        <v>77</v>
      </c>
      <c r="F16" s="11">
        <v>1146</v>
      </c>
      <c r="G16" s="11"/>
      <c r="I16" s="29" t="s">
        <v>0</v>
      </c>
      <c r="J16" s="62">
        <v>22012025</v>
      </c>
      <c r="K16" s="62"/>
    </row>
    <row r="17" spans="1:11" ht="15" customHeight="1" x14ac:dyDescent="0.25">
      <c r="A17" s="29" t="s">
        <v>49</v>
      </c>
      <c r="B17" s="53">
        <v>28036.71</v>
      </c>
      <c r="C17" s="53"/>
      <c r="E17" s="29" t="s">
        <v>78</v>
      </c>
      <c r="F17" s="11">
        <v>1137</v>
      </c>
      <c r="G17" s="11"/>
      <c r="I17" s="29" t="s">
        <v>53</v>
      </c>
      <c r="J17" s="9">
        <v>7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17012025</v>
      </c>
      <c r="C20" s="79"/>
      <c r="E20" s="29" t="s">
        <v>37</v>
      </c>
      <c r="F20" s="46"/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/>
      <c r="G21" s="15"/>
      <c r="I21" s="29" t="s">
        <v>41</v>
      </c>
      <c r="J21" s="78">
        <v>15012025</v>
      </c>
      <c r="K21" s="78"/>
    </row>
    <row r="22" spans="1:11" ht="15" customHeight="1" x14ac:dyDescent="0.25">
      <c r="A22" s="29" t="s">
        <v>31</v>
      </c>
      <c r="B22" s="37">
        <v>140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37">
        <v>279601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>
        <v>2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>
        <v>16012025</v>
      </c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43">
        <v>336.8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>
        <v>2</v>
      </c>
      <c r="K27" s="77"/>
    </row>
    <row r="28" spans="1:11" ht="15" customHeight="1" x14ac:dyDescent="0.25">
      <c r="A28" s="29" t="s">
        <v>34</v>
      </c>
      <c r="B28" s="42">
        <v>2855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710</v>
      </c>
      <c r="C31" s="40"/>
      <c r="E31" s="31" t="s">
        <v>56</v>
      </c>
      <c r="F31" s="51">
        <f>IF(B32="",DATA!V3,"")</f>
        <v>47.499999999941792</v>
      </c>
      <c r="G31" s="51"/>
      <c r="I31" s="31" t="s">
        <v>57</v>
      </c>
      <c r="J31" s="48">
        <f>IFERROR(ROUND(B31/F31,1),"")</f>
        <v>14.9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1.1999999999999886</v>
      </c>
      <c r="G33" s="39"/>
      <c r="I33" s="32" t="s">
        <v>146</v>
      </c>
      <c r="J33" s="44">
        <f>IF(DATA!AD3&lt;&gt;"",DATA!AD3,DATA!AD4)</f>
        <v>212.30000000000018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19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45676.5</v>
      </c>
      <c r="U2" s="34">
        <f>IFERROR(T2-Q2,"")</f>
        <v>45676.416666666664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335.6</v>
      </c>
      <c r="AA2" s="28">
        <f>IFERROR(NOON!J8,"")</f>
        <v>2642.7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47.499999999941792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>
        <f>IF($U$3="","",IF($U$4="",(X3+Y3)-(X2+Y2),""))</f>
        <v>0</v>
      </c>
      <c r="AC3" s="28">
        <f>IF($U$3="","",IF($U$4="",Z3-Z2,""))</f>
        <v>1.1999999999999886</v>
      </c>
      <c r="AD3" s="28">
        <f>IF($U$3="","",IF($U$4="",AA3-AA2,""))</f>
        <v>212.30000000000018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/>
      </c>
      <c r="N7" s="3" t="str">
        <f>IFERROR(RIGHT(NOON!J17,2),"")</f>
        <v>7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 t="str">
        <f t="shared" si="4"/>
        <v/>
      </c>
      <c r="S7" s="5">
        <f t="shared" si="2"/>
        <v>4.1666666666666664E-2</v>
      </c>
      <c r="T7" s="6" t="str">
        <f t="shared" si="0"/>
        <v/>
      </c>
      <c r="U7" s="34" t="str">
        <f t="shared" si="3"/>
        <v/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2025-01-19T10:21:53Z</dcterms:modified>
</cp:coreProperties>
</file>