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1-NOON REPORTS 2025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AB21" i="3"/>
  <c r="U22" i="3"/>
  <c r="AC21" i="3" l="1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<sst xmlns="http://schemas.openxmlformats.org/spreadsheetml/2006/main" count="227" uniqueCount="166">
  <si>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</si>
  <si>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</si>
  <si>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</si>
  <si>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</si>
  <si>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</si>
  <si>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</si>
  <si>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</si>
  <si>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</si>
  <si>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</si>
  <si>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</si>
  <si>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</si>
  <si>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</si>
  <si>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</si>
  <si>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</si>
  <si>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</si>
  <si>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</si>
  <si>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</si>
  <si>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</si>
  <si>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</si>
  <si>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</si>
  <si>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</si>
  <si>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</si>
  <si>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</si>
  <si>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</si>
  <si>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</si>
  <si>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</si>
  <si>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</si>
  <si>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</si>
  <si>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</si>
  <si>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</si>
  <si>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</si>
  <si>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</si>
  <si>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</si>
  <si>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</si>
  <si>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</si>
  <si>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</si>
  <si>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</si>
  <si>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</si>
  <si>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</si>
  <si>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</si>
  <si>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</si>
  <si>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</si>
  <si>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</si>
  <si>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</si>
  <si>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</si>
  <si>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</si>
  <si>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</si>
  <si>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</si>
  <si>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</si>
  <si>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</si>
  <si>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</si>
  <si>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</si>
  <si>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</si>
  <si>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</si>
  <si>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</si>
  <si>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</si>
  <si>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</si>
  <si>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</si>
  <si>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</si>
  <si>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</si>
  <si>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</si>
  <si>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</si>
  <si>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</si>
  <si>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</si>
  <si>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</si>
  <si>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</si>
  <si>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</si>
  <si>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</si>
  <si>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</si>
  <si>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</si>
  <si>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</si>
  <si>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</si>
  <si>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</si>
  <si>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</si>
  <si>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</si>
  <si>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</si>
  <si>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</si>
  <si>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</si>
  <si>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</si>
  <si>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</si>
  <si>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</si>
  <si>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</si>
  <si>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</si>
  <si>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</si>
  <si>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</si>
  <si>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</si>
  <si>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</si>
  <si>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</si>
  <si>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</si>
  <si>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</si>
  <si>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</si>
  <si>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</si>
  <si>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</si>
  <si>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</si>
  <si>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</si>
  <si>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</si>
  <si>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</si>
  <si>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</si>
  <si>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</si>
  <si>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</si>
  <si>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</si>
  <si>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</si>
  <si>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</si>
  <si>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</si>
  <si>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</si>
  <si>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</si>
  <si>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</si>
  <si>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</si>
  <si>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</si>
  <si>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</si>
  <si>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</si>
  <si>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</si>
  <si>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</si>
  <si>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</si>
  <si>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</si>
  <si>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</si>
  <si>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</si>
  <si>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</si>
  <si>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</si>
  <si>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</si>
  <si>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</si>
  <si>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</si>
  <si>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</si>
  <si>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</si>
  <si>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</si>
  <si>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</si>
  <si>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</si>
  <si>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</si>
  <si>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</si>
  <si>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</si>
  <si>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</si>
  <si>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</si>
  <si>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</si>
  <si>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</si>
  <si>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</si>
  <si>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</si>
  <si>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</si>
  <si>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</si>
  <si>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</si>
  <si>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</si>
  <si>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</si>
  <si>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</si>
  <si>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</si>
  <si>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</si>
  <si>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</si>
  <si>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</si>
  <si>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</si>
  <si>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</si>
  <si>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</si>
  <si>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</si>
  <si>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</si>
  <si>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</si>
  <si>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</si>
  <si>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</si>
  <si>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</si>
  <si>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</si>
  <si>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</si>
  <si>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</si>
  <si>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</si>
  <si>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</si>
  <si>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</si>
  <si>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</si>
  <si>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03/25</t>
  </si>
  <si>
    <t>DZAZW</t>
  </si>
  <si>
    <t>SW/4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</si>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</sst>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4" zoomScale="130" zoomScaleNormal="130" zoomScaleSheetLayoutView="130" workbookViewId="0">
      <selection activeCell="J20" sqref="J20:K20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164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3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162</v>
      </c>
      <c r="C7" s="40"/>
      <c r="E7" s="29" t="s">
        <v>47</v>
      </c>
      <c r="F7" s="62"/>
      <c r="G7" s="62"/>
      <c r="I7" s="29" t="s">
        <v>24</v>
      </c>
      <c r="J7" s="53">
        <v>329.92</v>
      </c>
      <c r="K7" s="53"/>
    </row>
    <row r="8" spans="1:11" ht="15" customHeight="1" x14ac:dyDescent="0.25">
      <c r="A8" s="29" t="s">
        <v>6</v>
      </c>
      <c r="B8" s="40" t="s">
        <v>163</v>
      </c>
      <c r="C8" s="40"/>
      <c r="E8" s="42" t="s">
        <v>73</v>
      </c>
      <c r="F8" s="42"/>
      <c r="G8" s="42"/>
      <c r="I8" s="29" t="s">
        <v>34</v>
      </c>
      <c r="J8" s="52">
        <v>2173</v>
      </c>
      <c r="K8" s="52"/>
    </row>
    <row r="9" spans="1:11" ht="15" customHeight="1" x14ac:dyDescent="0.25">
      <c r="A9" s="29" t="s">
        <v>0</v>
      </c>
      <c r="B9" s="59">
        <v>21012025</v>
      </c>
      <c r="C9" s="59"/>
      <c r="E9" s="29" t="s">
        <v>76</v>
      </c>
      <c r="F9" s="12">
        <v>-159.04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-159.02000000000001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37585</v>
      </c>
      <c r="C11" s="67"/>
      <c r="E11" s="29" t="s">
        <v>77</v>
      </c>
      <c r="F11" s="12">
        <v>-159.19999999999999</v>
      </c>
      <c r="G11" s="12"/>
      <c r="I11" s="29" t="s">
        <v>138</v>
      </c>
      <c r="J11" s="50">
        <v>0</v>
      </c>
      <c r="K11" s="50"/>
    </row>
    <row r="12" spans="1:11" ht="15" customHeight="1" x14ac:dyDescent="0.25">
      <c r="A12" s="29" t="s">
        <v>4</v>
      </c>
      <c r="B12" s="64">
        <v>-8485</v>
      </c>
      <c r="C12" s="65"/>
      <c r="E12" s="29" t="s">
        <v>78</v>
      </c>
      <c r="F12" s="12" t="s">
        <v>165</v>
      </c>
      <c r="G12" s="12"/>
      <c r="I12" s="29" t="s">
        <v>48</v>
      </c>
      <c r="J12" s="55">
        <v>124589195</v>
      </c>
      <c r="K12" s="56"/>
    </row>
    <row r="13" spans="1:11" ht="15" customHeight="1" x14ac:dyDescent="0.25">
      <c r="A13" s="29" t="s">
        <v>3</v>
      </c>
      <c r="B13" s="63">
        <v>272</v>
      </c>
      <c r="C13" s="63"/>
      <c r="E13" s="42" t="s">
        <v>158</v>
      </c>
      <c r="F13" s="42"/>
      <c r="G13" s="42"/>
      <c r="I13" s="29" t="s">
        <v>46</v>
      </c>
      <c r="J13" s="55">
        <v>124396574</v>
      </c>
      <c r="K13" s="56"/>
    </row>
    <row r="14" spans="1:11" ht="15" customHeight="1" x14ac:dyDescent="0.25">
      <c r="A14" s="29" t="s">
        <v>137</v>
      </c>
      <c r="B14" s="61">
        <v>11</v>
      </c>
      <c r="C14" s="61"/>
      <c r="E14" s="29" t="s">
        <v>76</v>
      </c>
      <c r="F14" s="11">
        <v>1132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1155</v>
      </c>
      <c r="C15" s="46"/>
      <c r="E15" s="29" t="s">
        <v>75</v>
      </c>
      <c r="F15" s="11">
        <v>1131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475</v>
      </c>
      <c r="C16" s="46"/>
      <c r="E16" s="29" t="s">
        <v>77</v>
      </c>
      <c r="F16" s="11">
        <v>1130</v>
      </c>
      <c r="G16" s="11"/>
      <c r="I16" s="29" t="s">
        <v>0</v>
      </c>
      <c r="J16" s="59">
        <v>22012025</v>
      </c>
      <c r="K16" s="59"/>
    </row>
    <row r="17" spans="1:11" ht="15" customHeight="1" x14ac:dyDescent="0.25">
      <c r="A17" s="29" t="s">
        <v>49</v>
      </c>
      <c r="B17" s="46">
        <v>280615.3</v>
      </c>
      <c r="C17" s="46"/>
      <c r="E17" s="29" t="s">
        <v>78</v>
      </c>
      <c r="F17" s="11">
        <v>1173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17012025</v>
      </c>
      <c r="C20" s="45"/>
      <c r="E20" s="29" t="s">
        <v>37</v>
      </c>
      <c r="F20" s="69"/>
      <c r="G20" s="70"/>
      <c r="I20" s="29" t="s">
        <v>1</v>
      </c>
      <c r="J20" s="73" t="s">
        <v>161</v>
      </c>
      <c r="K20" s="73"/>
    </row>
    <row r="21" spans="1:11" ht="15" customHeight="1" x14ac:dyDescent="0.25">
      <c r="A21" s="29" t="s">
        <v>53</v>
      </c>
      <c r="B21" s="16">
        <v>1330</v>
      </c>
      <c r="C21" s="17">
        <v>300</v>
      </c>
      <c r="E21" s="29" t="s">
        <v>53</v>
      </c>
      <c r="F21" s="14"/>
      <c r="G21" s="15"/>
      <c r="I21" s="29" t="s">
        <v>41</v>
      </c>
      <c r="J21" s="43">
        <v>15012025</v>
      </c>
      <c r="K21" s="43"/>
    </row>
    <row r="22" spans="1:11" ht="15" customHeight="1" x14ac:dyDescent="0.25">
      <c r="A22" s="29" t="s">
        <v>31</v>
      </c>
      <c r="B22" s="44">
        <v>140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>
        <v>1440</v>
      </c>
      <c r="K22" s="18">
        <v>300</v>
      </c>
    </row>
    <row r="23" spans="1:11" ht="15" customHeight="1" x14ac:dyDescent="0.25">
      <c r="A23" s="29" t="s">
        <v>136</v>
      </c>
      <c r="B23" s="44">
        <v>279601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>
        <v>2</v>
      </c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>
        <v>16012025</v>
      </c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>
        <v>2145</v>
      </c>
      <c r="K26" s="18">
        <v>300</v>
      </c>
    </row>
    <row r="27" spans="1:11" ht="15" customHeight="1" x14ac:dyDescent="0.25">
      <c r="A27" s="29" t="s">
        <v>24</v>
      </c>
      <c r="B27" s="80">
        <v>336.8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>
        <v>2</v>
      </c>
      <c r="K27" s="41"/>
    </row>
    <row r="28" spans="1:11" ht="15" customHeight="1" x14ac:dyDescent="0.25">
      <c r="A28" s="29" t="s">
        <v>34</v>
      </c>
      <c r="B28" s="79">
        <v>2855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1015</v>
      </c>
      <c r="C31" s="77"/>
      <c r="E31" s="31" t="s">
        <v>56</v>
      </c>
      <c r="F31" s="74">
        <f>IF(B32="",DATA!V3,"")</f>
        <v>96.500000000058208</v>
      </c>
      <c r="G31" s="74"/>
      <c r="I31" s="31" t="s">
        <v>57</v>
      </c>
      <c r="J31" s="71">
        <f>IFERROR(ROUND(B31/F31,1),"")</f>
        <v>10.5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6.8799999999999955</v>
      </c>
      <c r="G33" s="76"/>
      <c r="I33" s="32" t="s">
        <v>146</v>
      </c>
      <c r="J33" s="68">
        <f>IF(DATA!AD3&lt;&gt;"",DATA!AD3,DATA!AD4)</f>
        <v>682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21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45678.5</v>
      </c>
      <c r="U2" s="34">
        <f>IFERROR(T2-Q2,"")</f>
        <v>45678.458333333336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329.92</v>
      </c>
      <c r="AA2" s="28">
        <f>IFERROR(NOON!J8,"")</f>
        <v>2173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17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13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0.5625</v>
      </c>
      <c r="S3" s="5">
        <f t="shared" ref="S3:S7" si="2">IFERROR(TIME(ABS(O3),ABS(P3),0),"")</f>
        <v>0.125</v>
      </c>
      <c r="T3" s="6">
        <f t="shared" si="0"/>
        <v>45674.5625</v>
      </c>
      <c r="U3" s="34">
        <f t="shared" ref="U3:U7" si="3">IFERROR(T3-Q3,"")</f>
        <v>45674.4375</v>
      </c>
      <c r="V3" s="8">
        <f>IFERROR(((24*(U2-U3))),"")</f>
        <v>96.500000000058208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336.8</v>
      </c>
      <c r="AA3" s="28">
        <f>IFERROR(NOON!B28,"")</f>
        <v>2855</v>
      </c>
      <c r="AB3" s="28">
        <f>IF($U$3="","",IF($U$4="",(X3+Y3)-(X2+Y2),""))</f>
        <v>0</v>
      </c>
      <c r="AC3" s="28">
        <f>IF($U$3="","",IF($U$4="",Z3-Z2,""))</f>
        <v>6.8799999999999955</v>
      </c>
      <c r="AD3" s="28">
        <f>IF($U$3="","",IF($U$4="",AA3-AA2,""))</f>
        <v>682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>15</v>
      </c>
      <c r="K5" s="3" t="str">
        <f>IF(LEN(NOON!J21)=8,IFERROR(MID(NOON!J21,3,2),""),IFERROR(MID(NOON!J21,2,2),""))</f>
        <v>01</v>
      </c>
      <c r="L5" s="4" t="str">
        <f>IFERROR(RIGHT(NOON!J21,4),"")</f>
        <v>2025</v>
      </c>
      <c r="M5" s="3" t="str">
        <f>IFERROR(IF(LEN(NOON!J22)=3,LEFT(NOON!J22,1),IF(LEN(NOON!J22)=4,LEFT(NOON!J22,2),"")),"")</f>
        <v>14</v>
      </c>
      <c r="N5" s="3" t="str">
        <f>IFERROR(RIGHT(NOON!J22,2),"")</f>
        <v>40</v>
      </c>
      <c r="O5" s="3" t="str">
        <f>IFERROR(IF(LEN(NOON!K22)=3,LEFT(NOON!K22,1),IF(LEN(NOON!K22)=4,LEFT(NOON!K22,2),"")),"")</f>
        <v>3</v>
      </c>
      <c r="P5" s="3" t="str">
        <f>IFERROR(RIGHT(NOON!K22,2),"")</f>
        <v>00</v>
      </c>
      <c r="Q5" s="33">
        <f t="shared" si="1"/>
        <v>0.125</v>
      </c>
      <c r="R5" s="5">
        <f t="shared" si="4"/>
        <v>0.61111111111111105</v>
      </c>
      <c r="S5" s="5">
        <f t="shared" si="2"/>
        <v>0.125</v>
      </c>
      <c r="T5" s="6">
        <f t="shared" si="0"/>
        <v>45672.611111111109</v>
      </c>
      <c r="U5" s="34">
        <f t="shared" si="3"/>
        <v>45672.486111111109</v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>16</v>
      </c>
      <c r="K6" s="3" t="str">
        <f>IF(LEN(NOON!J25)=8,IFERROR(MID(NOON!J25,3,2),""),IFERROR(MID(NOON!J25,2,2),""))</f>
        <v>01</v>
      </c>
      <c r="L6" s="4" t="str">
        <f>IFERROR(RIGHT(NOON!J25,4),"")</f>
        <v>2025</v>
      </c>
      <c r="M6" s="3" t="str">
        <f>IFERROR(IF(LEN(NOON!J26)=3,LEFT(NOON!J26,1),IF(LEN(NOON!J26)=4,LEFT(NOON!J26,2),"")),"")</f>
        <v>21</v>
      </c>
      <c r="N6" s="3" t="str">
        <f>IFERROR(RIGHT(NOON!J26,2),"")</f>
        <v>45</v>
      </c>
      <c r="O6" s="3" t="str">
        <f>IFERROR(IF(LEN(NOON!K26)=3,LEFT(NOON!K26,1),IF(LEN(NOON!K26)=4,LEFT(NOON!K26,2),"")),"")</f>
        <v>3</v>
      </c>
      <c r="P6" s="3" t="str">
        <f>IFERROR(RIGHT(NOON!K26,2),"")</f>
        <v>00</v>
      </c>
      <c r="Q6" s="33">
        <f t="shared" si="1"/>
        <v>0.125</v>
      </c>
      <c r="R6" s="5">
        <f t="shared" si="4"/>
        <v>0.90625</v>
      </c>
      <c r="S6" s="5">
        <f t="shared" si="2"/>
        <v>0.125</v>
      </c>
      <c r="T6" s="6">
        <f t="shared" si="0"/>
        <v>45673.90625</v>
      </c>
      <c r="U6" s="34">
        <f t="shared" si="3"/>
        <v>45673.78125</v>
      </c>
      <c r="V6" s="8">
        <f>IFERROR(((24*(U6-U5))),"")</f>
        <v>31.083333333372138</v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22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45679.291666666664</v>
      </c>
      <c r="U7" s="34">
        <f t="shared" si="3"/>
        <v>45679.25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2025-01-23T02:55:56Z</dcterms:modified>
</cp:coreProperties>
</file>