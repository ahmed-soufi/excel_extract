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1-NOON REPORTS 2025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<sst xmlns="http://schemas.openxmlformats.org/spreadsheetml/2006/main" count="226" uniqueCount="165">
  <si>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</si>
  <si>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</si>
  <si>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</si>
  <si>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</si>
  <si>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</si>
  <si>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</si>
  <si>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</si>
  <si>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</si>
  <si>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</si>
  <si>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</si>
  <si>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</si>
  <si>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</si>
  <si>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</si>
  <si>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</si>
  <si>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</si>
  <si>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</si>
  <si>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</si>
  <si>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</si>
  <si>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</si>
  <si>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</si>
  <si>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</si>
  <si>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</si>
  <si>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</si>
  <si>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</si>
  <si>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</si>
  <si>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</si>
  <si>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</si>
  <si>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</si>
  <si>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</si>
  <si>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</si>
  <si>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</si>
  <si>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</si>
  <si>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</si>
  <si>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</si>
  <si>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</si>
  <si>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</si>
  <si>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</si>
  <si>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</si>
  <si>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</si>
  <si>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</si>
  <si>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</si>
  <si>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</si>
  <si>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</si>
  <si>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</si>
  <si>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</si>
  <si>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</si>
  <si>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</si>
  <si>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</si>
  <si>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</si>
  <si>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</si>
  <si>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</si>
  <si>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</si>
  <si>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</si>
  <si>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</si>
  <si>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</si>
  <si>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</si>
  <si>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</si>
  <si>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</si>
  <si>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</si>
  <si>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</si>
  <si>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</si>
  <si>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</si>
  <si>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</si>
  <si>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</si>
  <si>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</si>
  <si>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</si>
  <si>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</si>
  <si>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</si>
  <si>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</si>
  <si>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</si>
  <si>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</si>
  <si>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</si>
  <si>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</si>
  <si>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</si>
  <si>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</si>
  <si>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</si>
  <si>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</si>
  <si>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</si>
  <si>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</si>
  <si>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</si>
  <si>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</si>
  <si>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</si>
  <si>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</si>
  <si>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</si>
  <si>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</si>
  <si>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</si>
  <si>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</si>
  <si>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</si>
  <si>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</si>
  <si>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</si>
  <si>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</si>
  <si>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</si>
  <si>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</si>
  <si>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</si>
  <si>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</si>
  <si>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</si>
  <si>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</si>
  <si>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</si>
  <si>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</si>
  <si>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</si>
  <si>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</si>
  <si>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</si>
  <si>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</si>
  <si>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</si>
  <si>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</si>
  <si>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</si>
  <si>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</si>
  <si>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</si>
  <si>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</si>
  <si>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</si>
  <si>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</si>
  <si>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</si>
  <si>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</si>
  <si>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</si>
  <si>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</si>
  <si>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</si>
  <si>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</si>
  <si>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</si>
  <si>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</si>
  <si>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</si>
  <si>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</si>
  <si>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</si>
  <si>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</si>
  <si>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</si>
  <si>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</si>
  <si>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</si>
  <si>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</si>
  <si>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</si>
  <si>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</si>
  <si>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</si>
  <si>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</si>
  <si>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</si>
  <si>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</si>
  <si>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</si>
  <si>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</si>
  <si>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</si>
  <si>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</si>
  <si>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</si>
  <si>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</si>
  <si>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</si>
  <si>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</si>
  <si>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</si>
  <si>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</si>
  <si>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</si>
  <si>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</si>
  <si>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</si>
  <si>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</si>
  <si>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</si>
  <si>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</si>
  <si>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</si>
  <si>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</si>
  <si>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</si>
  <si>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</si>
  <si>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</si>
  <si>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</si>
  <si>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</si>
  <si>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</si>
  <si>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</si>
  <si>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</si>
  <si>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</si>
  <si>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</si>
  <si>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</si>
  <si>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DZAZW</t>
  </si>
  <si>
    <t>SSE/4</t>
  </si>
  <si>
    <t>04/25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</si>
</sst>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4" zoomScale="130" zoomScaleNormal="130" zoomScaleSheetLayoutView="130" workbookViewId="0">
      <selection activeCell="J20" sqref="J20:K2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3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164</v>
      </c>
      <c r="C7" s="55"/>
      <c r="E7" s="29" t="s">
        <v>47</v>
      </c>
      <c r="F7" s="56"/>
      <c r="G7" s="56"/>
      <c r="I7" s="29" t="s">
        <v>24</v>
      </c>
      <c r="J7" s="68">
        <v>327.05</v>
      </c>
      <c r="K7" s="68"/>
    </row>
    <row r="8" spans="1:11" ht="15" customHeight="1" x14ac:dyDescent="0.25">
      <c r="A8" s="29" t="s">
        <v>6</v>
      </c>
      <c r="B8" s="55" t="s">
        <v>162</v>
      </c>
      <c r="C8" s="55"/>
      <c r="E8" s="36" t="s">
        <v>73</v>
      </c>
      <c r="F8" s="36"/>
      <c r="G8" s="36"/>
      <c r="I8" s="29" t="s">
        <v>34</v>
      </c>
      <c r="J8" s="67">
        <v>1782.5</v>
      </c>
      <c r="K8" s="67"/>
    </row>
    <row r="9" spans="1:11" ht="15" customHeight="1" x14ac:dyDescent="0.25">
      <c r="A9" s="29" t="s">
        <v>0</v>
      </c>
      <c r="B9" s="62">
        <v>22012025</v>
      </c>
      <c r="C9" s="62"/>
      <c r="E9" s="29" t="s">
        <v>76</v>
      </c>
      <c r="F9" s="12">
        <v>-158.31</v>
      </c>
      <c r="G9" s="12"/>
      <c r="I9" s="29" t="s">
        <v>51</v>
      </c>
      <c r="J9" s="72">
        <v>66107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-158.26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36021</v>
      </c>
      <c r="C11" s="61"/>
      <c r="E11" s="29" t="s">
        <v>77</v>
      </c>
      <c r="F11" s="12">
        <v>-158.37</v>
      </c>
      <c r="G11" s="12"/>
      <c r="I11" s="29" t="s">
        <v>138</v>
      </c>
      <c r="J11" s="65">
        <v>20</v>
      </c>
      <c r="K11" s="65"/>
    </row>
    <row r="12" spans="1:11" ht="15" customHeight="1" x14ac:dyDescent="0.25">
      <c r="A12" s="29" t="s">
        <v>4</v>
      </c>
      <c r="B12" s="58">
        <v>37</v>
      </c>
      <c r="C12" s="59"/>
      <c r="E12" s="29" t="s">
        <v>78</v>
      </c>
      <c r="F12" s="12">
        <v>-155.94</v>
      </c>
      <c r="G12" s="12"/>
      <c r="I12" s="29" t="s">
        <v>48</v>
      </c>
      <c r="J12" s="70">
        <v>124642373</v>
      </c>
      <c r="K12" s="71"/>
    </row>
    <row r="13" spans="1:11" ht="15" customHeight="1" x14ac:dyDescent="0.25">
      <c r="A13" s="29" t="s">
        <v>3</v>
      </c>
      <c r="B13" s="57">
        <v>213</v>
      </c>
      <c r="C13" s="57"/>
      <c r="E13" s="36" t="s">
        <v>158</v>
      </c>
      <c r="F13" s="36"/>
      <c r="G13" s="36"/>
      <c r="I13" s="29" t="s">
        <v>46</v>
      </c>
      <c r="J13" s="70">
        <v>124450246</v>
      </c>
      <c r="K13" s="71"/>
    </row>
    <row r="14" spans="1:11" ht="15" customHeight="1" x14ac:dyDescent="0.25">
      <c r="A14" s="29" t="s">
        <v>137</v>
      </c>
      <c r="B14" s="54">
        <v>6.3</v>
      </c>
      <c r="C14" s="54"/>
      <c r="E14" s="29" t="s">
        <v>76</v>
      </c>
      <c r="F14" s="11">
        <v>1179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1652</v>
      </c>
      <c r="C15" s="53"/>
      <c r="E15" s="29" t="s">
        <v>75</v>
      </c>
      <c r="F15" s="11">
        <v>1178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14</v>
      </c>
      <c r="C16" s="53"/>
      <c r="E16" s="29" t="s">
        <v>77</v>
      </c>
      <c r="F16" s="11">
        <v>1177</v>
      </c>
      <c r="G16" s="11"/>
      <c r="I16" s="29" t="s">
        <v>0</v>
      </c>
      <c r="J16" s="62">
        <v>22012025</v>
      </c>
      <c r="K16" s="62"/>
    </row>
    <row r="17" spans="1:11" ht="15" customHeight="1" x14ac:dyDescent="0.25">
      <c r="A17" s="29" t="s">
        <v>49</v>
      </c>
      <c r="B17" s="53">
        <v>281108.15000000002</v>
      </c>
      <c r="C17" s="53"/>
      <c r="E17" s="29" t="s">
        <v>78</v>
      </c>
      <c r="F17" s="11">
        <v>1179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17012025</v>
      </c>
      <c r="C20" s="79"/>
      <c r="E20" s="29" t="s">
        <v>37</v>
      </c>
      <c r="F20" s="46">
        <v>22012025</v>
      </c>
      <c r="G20" s="47"/>
      <c r="I20" s="29" t="s">
        <v>1</v>
      </c>
      <c r="J20" s="50" t="s">
        <v>161</v>
      </c>
      <c r="K20" s="50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78">
        <v>15012025</v>
      </c>
      <c r="K21" s="78"/>
    </row>
    <row r="22" spans="1:11" ht="15" customHeight="1" x14ac:dyDescent="0.25">
      <c r="A22" s="29" t="s">
        <v>31</v>
      </c>
      <c r="B22" s="37">
        <v>140</v>
      </c>
      <c r="C22" s="37"/>
      <c r="D22" s="30"/>
      <c r="E22" s="29" t="s">
        <v>30</v>
      </c>
      <c r="F22" s="45">
        <v>1640</v>
      </c>
      <c r="G22" s="45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37">
        <v>279601</v>
      </c>
      <c r="C23" s="37"/>
      <c r="D23" s="30"/>
      <c r="E23" s="29" t="s">
        <v>135</v>
      </c>
      <c r="F23" s="45">
        <v>281098</v>
      </c>
      <c r="G23" s="45"/>
      <c r="H23" s="30"/>
      <c r="I23" s="29" t="s">
        <v>42</v>
      </c>
      <c r="J23" s="77">
        <v>2</v>
      </c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>
        <v>1107</v>
      </c>
      <c r="G25" s="38"/>
      <c r="H25" s="30"/>
      <c r="I25" s="29" t="s">
        <v>44</v>
      </c>
      <c r="J25" s="78">
        <v>16012025</v>
      </c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43">
        <v>336.8</v>
      </c>
      <c r="C27" s="43"/>
      <c r="D27" s="30"/>
      <c r="E27" s="29" t="s">
        <v>24</v>
      </c>
      <c r="F27" s="38">
        <v>327.97</v>
      </c>
      <c r="G27" s="38"/>
      <c r="H27" s="30"/>
      <c r="I27" s="29" t="s">
        <v>43</v>
      </c>
      <c r="J27" s="77">
        <v>2</v>
      </c>
      <c r="K27" s="77"/>
    </row>
    <row r="28" spans="1:11" ht="15" customHeight="1" x14ac:dyDescent="0.25">
      <c r="A28" s="29" t="s">
        <v>34</v>
      </c>
      <c r="B28" s="42">
        <v>2855</v>
      </c>
      <c r="C28" s="42"/>
      <c r="D28" s="30"/>
      <c r="E28" s="29" t="s">
        <v>34</v>
      </c>
      <c r="F28" s="38">
        <v>1830</v>
      </c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>
        <f>IF(F22="","",F22-B22)</f>
        <v>1500</v>
      </c>
      <c r="C32" s="41"/>
      <c r="E32" s="32" t="s">
        <v>150</v>
      </c>
      <c r="F32" s="52">
        <f>IF(B32="","",DATA!V4)</f>
        <v>114.50000000005821</v>
      </c>
      <c r="G32" s="52"/>
      <c r="I32" s="32" t="s">
        <v>59</v>
      </c>
      <c r="J32" s="49">
        <f>IFERROR(ROUND(B32/F32,1),"")</f>
        <v>13.1</v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8.8299999999999841</v>
      </c>
      <c r="G33" s="39"/>
      <c r="I33" s="32" t="s">
        <v>146</v>
      </c>
      <c r="J33" s="44">
        <f>IF(DATA!AD3&lt;&gt;"",DATA!AD3,DATA!AD4)</f>
        <v>1025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22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45679.5</v>
      </c>
      <c r="U2" s="34">
        <f>IFERROR(T2-Q2,"")</f>
        <v>45679.458333333336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327.05</v>
      </c>
      <c r="AA2" s="28">
        <f>IFERROR(NOON!J8,"")</f>
        <v>1782.5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120.50000000005821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2025-01-23T02:56:13Z</dcterms:modified>
</cp:coreProperties>
</file>