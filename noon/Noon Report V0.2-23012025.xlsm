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<sst xmlns="http://schemas.openxmlformats.org/spreadsheetml/2006/main" count="226" uniqueCount="165">
  <si>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</si>
  <si>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</si>
  <si>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</si>
  <si>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</si>
  <si>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</si>
  <si>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</si>
  <si>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</si>
  <si>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</si>
  <si>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</si>
  <si>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</si>
  <si>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</si>
  <si>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</si>
  <si>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</si>
  <si>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</si>
  <si>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</si>
  <si>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</si>
  <si>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</si>
  <si>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</si>
  <si>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</si>
  <si>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</si>
  <si>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</si>
  <si>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</si>
  <si>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</si>
  <si>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</si>
  <si>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</si>
  <si>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</si>
  <si>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</si>
  <si>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</si>
  <si>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</si>
  <si>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</si>
  <si>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</si>
  <si>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</si>
  <si>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</si>
  <si>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</si>
  <si>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</si>
  <si>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</si>
  <si>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</si>
  <si>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</si>
  <si>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</si>
  <si>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</si>
  <si>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</si>
  <si>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</si>
  <si>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</si>
  <si>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</si>
  <si>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</si>
  <si>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</si>
  <si>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</si>
  <si>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</si>
  <si>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</si>
  <si>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</si>
  <si>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</si>
  <si>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</si>
  <si>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</si>
  <si>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</si>
  <si>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</si>
  <si>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</si>
  <si>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</si>
  <si>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</si>
  <si>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</si>
  <si>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</si>
  <si>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</si>
  <si>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</si>
  <si>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</si>
  <si>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</si>
  <si>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</si>
  <si>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</si>
  <si>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</si>
  <si>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</si>
  <si>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</si>
  <si>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</si>
  <si>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</si>
  <si>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</si>
  <si>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</si>
  <si>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</si>
  <si>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</si>
  <si>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</si>
  <si>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</si>
  <si>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</si>
  <si>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</si>
  <si>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</si>
  <si>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</si>
  <si>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</si>
  <si>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</si>
  <si>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</si>
  <si>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</si>
  <si>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</si>
  <si>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</si>
  <si>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</si>
  <si>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</si>
  <si>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</si>
  <si>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</si>
  <si>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</si>
  <si>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</si>
  <si>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</si>
  <si>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</si>
  <si>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</si>
  <si>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</si>
  <si>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</si>
  <si>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</si>
  <si>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</si>
  <si>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</si>
  <si>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</si>
  <si>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</si>
  <si>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</si>
  <si>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</si>
  <si>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</si>
  <si>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</si>
  <si>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</si>
  <si>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</si>
  <si>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</si>
  <si>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</si>
  <si>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</si>
  <si>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</si>
  <si>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</si>
  <si>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</si>
  <si>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</si>
  <si>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</si>
  <si>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</si>
  <si>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</si>
  <si>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</si>
  <si>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</si>
  <si>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</si>
  <si>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</si>
  <si>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</si>
  <si>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</si>
  <si>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</si>
  <si>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</si>
  <si>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</si>
  <si>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</si>
  <si>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</si>
  <si>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</si>
  <si>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</si>
  <si>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</si>
  <si>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</si>
  <si>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</si>
  <si>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</si>
  <si>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</si>
  <si>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</si>
  <si>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</si>
  <si>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</si>
  <si>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</si>
  <si>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</si>
  <si>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</si>
  <si>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</si>
  <si>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</si>
  <si>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</si>
  <si>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</si>
  <si>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</si>
  <si>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</si>
  <si>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</si>
  <si>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</si>
  <si>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</si>
  <si>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</si>
  <si>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</si>
  <si>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</si>
  <si>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</si>
  <si>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</si>
  <si>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</si>
  <si>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</si>
  <si>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</si>
  <si>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</si>
  <si>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TRMAR</t>
  </si>
  <si>
    <t>DZAZW</t>
  </si>
  <si>
    <t>04/25</t>
  </si>
  <si>
    <t>SSW/3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</si>
</sst>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B13" sqref="B13:C13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27</v>
      </c>
      <c r="C5" s="40"/>
      <c r="E5" s="29" t="s">
        <v>52</v>
      </c>
      <c r="F5" s="40" t="s">
        <v>164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160</v>
      </c>
      <c r="C6" s="40"/>
      <c r="E6" s="29" t="s">
        <v>40</v>
      </c>
      <c r="F6" s="54">
        <v>2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163</v>
      </c>
      <c r="C7" s="40"/>
      <c r="E7" s="29" t="s">
        <v>47</v>
      </c>
      <c r="F7" s="62"/>
      <c r="G7" s="62"/>
      <c r="I7" s="29" t="s">
        <v>24</v>
      </c>
      <c r="J7" s="53">
        <v>322.14999999999998</v>
      </c>
      <c r="K7" s="53"/>
    </row>
    <row r="8" spans="1:11" ht="15" customHeight="1" x14ac:dyDescent="0.25">
      <c r="A8" s="29" t="s">
        <v>6</v>
      </c>
      <c r="B8" s="40" t="s">
        <v>162</v>
      </c>
      <c r="C8" s="40"/>
      <c r="E8" s="42" t="s">
        <v>73</v>
      </c>
      <c r="F8" s="42"/>
      <c r="G8" s="42"/>
      <c r="I8" s="29" t="s">
        <v>34</v>
      </c>
      <c r="J8" s="52">
        <v>1663.6</v>
      </c>
      <c r="K8" s="52"/>
    </row>
    <row r="9" spans="1:11" ht="15" customHeight="1" x14ac:dyDescent="0.25">
      <c r="A9" s="29" t="s">
        <v>0</v>
      </c>
      <c r="B9" s="59">
        <v>23012025</v>
      </c>
      <c r="C9" s="59"/>
      <c r="E9" s="29" t="s">
        <v>76</v>
      </c>
      <c r="F9" s="12">
        <v>-158.13999999999999</v>
      </c>
      <c r="G9" s="12"/>
      <c r="I9" s="29" t="s">
        <v>51</v>
      </c>
      <c r="J9" s="57">
        <v>66107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-158.01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36118</v>
      </c>
      <c r="C11" s="67"/>
      <c r="E11" s="29" t="s">
        <v>77</v>
      </c>
      <c r="F11" s="12">
        <v>-158.13999999999999</v>
      </c>
      <c r="G11" s="12"/>
      <c r="I11" s="29" t="s">
        <v>138</v>
      </c>
      <c r="J11" s="50">
        <v>0</v>
      </c>
      <c r="K11" s="50"/>
    </row>
    <row r="12" spans="1:11" ht="15" customHeight="1" x14ac:dyDescent="0.25">
      <c r="A12" s="29" t="s">
        <v>4</v>
      </c>
      <c r="B12" s="64">
        <v>30</v>
      </c>
      <c r="C12" s="65"/>
      <c r="E12" s="29" t="s">
        <v>78</v>
      </c>
      <c r="F12" s="12">
        <v>-156.22</v>
      </c>
      <c r="G12" s="12"/>
      <c r="I12" s="29" t="s">
        <v>48</v>
      </c>
      <c r="J12" s="55">
        <v>124650331</v>
      </c>
      <c r="K12" s="56"/>
    </row>
    <row r="13" spans="1:11" ht="15" customHeight="1" x14ac:dyDescent="0.25">
      <c r="A13" s="29" t="s">
        <v>3</v>
      </c>
      <c r="B13" s="63">
        <v>108</v>
      </c>
      <c r="C13" s="63"/>
      <c r="E13" s="42" t="s">
        <v>158</v>
      </c>
      <c r="F13" s="42"/>
      <c r="G13" s="42"/>
      <c r="I13" s="29" t="s">
        <v>46</v>
      </c>
      <c r="J13" s="55">
        <v>124458096</v>
      </c>
      <c r="K13" s="56"/>
    </row>
    <row r="14" spans="1:11" ht="15" customHeight="1" x14ac:dyDescent="0.25">
      <c r="A14" s="29" t="s">
        <v>137</v>
      </c>
      <c r="B14" s="61">
        <v>1.4</v>
      </c>
      <c r="C14" s="61"/>
      <c r="E14" s="29" t="s">
        <v>76</v>
      </c>
      <c r="F14" s="11">
        <v>1187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1696</v>
      </c>
      <c r="C15" s="46"/>
      <c r="E15" s="29" t="s">
        <v>75</v>
      </c>
      <c r="F15" s="11">
        <v>1186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/>
      <c r="C16" s="46"/>
      <c r="E16" s="29" t="s">
        <v>77</v>
      </c>
      <c r="F16" s="11">
        <v>1185</v>
      </c>
      <c r="G16" s="11"/>
      <c r="I16" s="29" t="s">
        <v>0</v>
      </c>
      <c r="J16" s="59">
        <v>22012025</v>
      </c>
      <c r="K16" s="59"/>
    </row>
    <row r="17" spans="1:11" ht="15" customHeight="1" x14ac:dyDescent="0.25">
      <c r="A17" s="29" t="s">
        <v>49</v>
      </c>
      <c r="B17" s="46">
        <v>281145.36</v>
      </c>
      <c r="C17" s="46"/>
      <c r="E17" s="29" t="s">
        <v>78</v>
      </c>
      <c r="F17" s="11">
        <v>1187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17012025</v>
      </c>
      <c r="C20" s="45"/>
      <c r="E20" s="29" t="s">
        <v>37</v>
      </c>
      <c r="F20" s="69">
        <v>22012025</v>
      </c>
      <c r="G20" s="70"/>
      <c r="I20" s="29" t="s">
        <v>1</v>
      </c>
      <c r="J20" s="73" t="s">
        <v>161</v>
      </c>
      <c r="K20" s="73"/>
    </row>
    <row r="21" spans="1:11" ht="15" customHeight="1" x14ac:dyDescent="0.25">
      <c r="A21" s="29" t="s">
        <v>53</v>
      </c>
      <c r="B21" s="16">
        <v>1330</v>
      </c>
      <c r="C21" s="17">
        <v>300</v>
      </c>
      <c r="E21" s="29" t="s">
        <v>53</v>
      </c>
      <c r="F21" s="14">
        <v>600</v>
      </c>
      <c r="G21" s="15">
        <v>100</v>
      </c>
      <c r="I21" s="29" t="s">
        <v>41</v>
      </c>
      <c r="J21" s="43">
        <v>15012025</v>
      </c>
      <c r="K21" s="43"/>
    </row>
    <row r="22" spans="1:11" ht="15" customHeight="1" x14ac:dyDescent="0.25">
      <c r="A22" s="29" t="s">
        <v>31</v>
      </c>
      <c r="B22" s="44">
        <v>140</v>
      </c>
      <c r="C22" s="44"/>
      <c r="D22" s="30"/>
      <c r="E22" s="29" t="s">
        <v>30</v>
      </c>
      <c r="F22" s="47">
        <v>1640</v>
      </c>
      <c r="G22" s="47"/>
      <c r="H22" s="30"/>
      <c r="I22" s="29" t="s">
        <v>53</v>
      </c>
      <c r="J22" s="13">
        <v>1440</v>
      </c>
      <c r="K22" s="18">
        <v>300</v>
      </c>
    </row>
    <row r="23" spans="1:11" ht="15" customHeight="1" x14ac:dyDescent="0.25">
      <c r="A23" s="29" t="s">
        <v>136</v>
      </c>
      <c r="B23" s="44">
        <v>279601</v>
      </c>
      <c r="C23" s="44"/>
      <c r="D23" s="30"/>
      <c r="E23" s="29" t="s">
        <v>135</v>
      </c>
      <c r="F23" s="47">
        <v>281098</v>
      </c>
      <c r="G23" s="47"/>
      <c r="H23" s="30"/>
      <c r="I23" s="29" t="s">
        <v>42</v>
      </c>
      <c r="J23" s="41">
        <v>2</v>
      </c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>
        <v>1107</v>
      </c>
      <c r="G25" s="60"/>
      <c r="H25" s="30"/>
      <c r="I25" s="29" t="s">
        <v>44</v>
      </c>
      <c r="J25" s="43">
        <v>16012025</v>
      </c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>
        <v>2145</v>
      </c>
      <c r="K26" s="18">
        <v>300</v>
      </c>
    </row>
    <row r="27" spans="1:11" ht="15" customHeight="1" x14ac:dyDescent="0.25">
      <c r="A27" s="29" t="s">
        <v>24</v>
      </c>
      <c r="B27" s="80">
        <v>336.8</v>
      </c>
      <c r="C27" s="80"/>
      <c r="D27" s="30"/>
      <c r="E27" s="29" t="s">
        <v>24</v>
      </c>
      <c r="F27" s="60">
        <v>327.97</v>
      </c>
      <c r="G27" s="60"/>
      <c r="H27" s="30"/>
      <c r="I27" s="29" t="s">
        <v>43</v>
      </c>
      <c r="J27" s="41">
        <v>2</v>
      </c>
      <c r="K27" s="41"/>
    </row>
    <row r="28" spans="1:11" ht="15" customHeight="1" x14ac:dyDescent="0.25">
      <c r="A28" s="29" t="s">
        <v>34</v>
      </c>
      <c r="B28" s="79">
        <v>2855</v>
      </c>
      <c r="C28" s="79"/>
      <c r="D28" s="30"/>
      <c r="E28" s="29" t="s">
        <v>34</v>
      </c>
      <c r="F28" s="60">
        <v>1830</v>
      </c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 t="str">
        <f>IF(B22="","",IF(F22&lt;&gt;"","",B15-B22))</f>
        <v/>
      </c>
      <c r="C31" s="77"/>
      <c r="E31" s="31" t="s">
        <v>56</v>
      </c>
      <c r="F31" s="74" t="str">
        <f>IF(B32="",DATA!V3,"")</f>
        <v/>
      </c>
      <c r="G31" s="74"/>
      <c r="I31" s="31" t="s">
        <v>57</v>
      </c>
      <c r="J31" s="71" t="str">
        <f>IFERROR(ROUND(B31/F31,1),"")</f>
        <v/>
      </c>
      <c r="K31" s="71"/>
    </row>
    <row r="32" spans="1:11" ht="15" customHeight="1" x14ac:dyDescent="0.25">
      <c r="A32" s="32" t="s">
        <v>58</v>
      </c>
      <c r="B32" s="78">
        <f>IF(F22="","",F22-B22)</f>
        <v>1500</v>
      </c>
      <c r="C32" s="78"/>
      <c r="E32" s="32" t="s">
        <v>150</v>
      </c>
      <c r="F32" s="75">
        <f>IF(B32="","",DATA!V4)</f>
        <v>114.50000000005821</v>
      </c>
      <c r="G32" s="75"/>
      <c r="I32" s="32" t="s">
        <v>59</v>
      </c>
      <c r="J32" s="72">
        <f>IFERROR(ROUND(B32/F32,1),"")</f>
        <v>13.1</v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8.8299999999999841</v>
      </c>
      <c r="G33" s="76"/>
      <c r="I33" s="32" t="s">
        <v>146</v>
      </c>
      <c r="J33" s="68">
        <f>IF(DATA!AD3&lt;&gt;"",DATA!AD3,DATA!AD4)</f>
        <v>1025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23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45680.5</v>
      </c>
      <c r="U2" s="34">
        <f>IFERROR(T2-Q2,"")</f>
        <v>45680.458333333336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322.14999999999998</v>
      </c>
      <c r="AA2" s="28">
        <f>IFERROR(NOON!J8,"")</f>
        <v>1663.6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17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13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0.5625</v>
      </c>
      <c r="S3" s="5">
        <f t="shared" ref="S3:S7" si="2">IFERROR(TIME(ABS(O3),ABS(P3),0),"")</f>
        <v>0.125</v>
      </c>
      <c r="T3" s="6">
        <f t="shared" si="0"/>
        <v>45674.5625</v>
      </c>
      <c r="U3" s="34">
        <f t="shared" ref="U3:U7" si="3">IFERROR(T3-Q3,"")</f>
        <v>45674.4375</v>
      </c>
      <c r="V3" s="8">
        <f>IFERROR(((24*(U2-U3))),"")</f>
        <v>144.50000000005821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336.8</v>
      </c>
      <c r="AA3" s="28">
        <f>IFERROR(NOON!B28,"")</f>
        <v>2855</v>
      </c>
      <c r="AB3" s="28" t="str">
        <f>IF($U$3="","",IF($U$4="",(X3+Y3)-(X2+Y2),""))</f>
        <v/>
      </c>
      <c r="AC3" s="28" t="str">
        <f>IF($U$3="","",IF($U$4="",Z3-Z2,""))</f>
        <v/>
      </c>
      <c r="AD3" s="28" t="str">
        <f>IF($U$3="","",IF($U$4="",AA3-AA2,""))</f>
        <v/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>22</v>
      </c>
      <c r="K4" s="3" t="str">
        <f>IF(LEN(NOON!F20)=8,IFERROR(MID(NOON!F20,3,2),""),IFERROR(MID(NOON!F20,2,2),""))</f>
        <v>01</v>
      </c>
      <c r="L4" s="4" t="str">
        <f>IFERROR(RIGHT(NOON!F20,4),"")</f>
        <v>2025</v>
      </c>
      <c r="M4" s="3" t="str">
        <f>IFERROR(IF(LEN(NOON!F21)=3,LEFT(NOON!F21,1),IF(LEN(NOON!F21)=4,LEFT(NOON!F21,2),"")),"")</f>
        <v>6</v>
      </c>
      <c r="N4" s="3" t="str">
        <f>IFERROR(RIGHT(NOON!F21,2),"")</f>
        <v>00</v>
      </c>
      <c r="O4" s="3" t="str">
        <f>IFERROR(IF(LEN(NOON!G21)=3,LEFT(NOON!G21,1),IF(LEN(NOON!G21)=4,LEFT(NOON!G21,2),"")),"")</f>
        <v>1</v>
      </c>
      <c r="P4" s="3" t="str">
        <f>IFERROR(RIGHT(NOON!G21,2),"")</f>
        <v>00</v>
      </c>
      <c r="Q4" s="33">
        <f t="shared" si="1"/>
        <v>4.1666666666666664E-2</v>
      </c>
      <c r="R4" s="5">
        <f t="shared" ref="R4:R7" si="4">IFERROR(TIME(M4,N4,0),"")</f>
        <v>0.25</v>
      </c>
      <c r="S4" s="5">
        <f t="shared" si="2"/>
        <v>4.1666666666666664E-2</v>
      </c>
      <c r="T4" s="6">
        <f t="shared" si="0"/>
        <v>45679.25</v>
      </c>
      <c r="U4" s="34">
        <f t="shared" si="3"/>
        <v>45679.208333333336</v>
      </c>
      <c r="V4" s="8">
        <f>IFERROR(((24*(U4-U3))),"")</f>
        <v>114.50000000005821</v>
      </c>
      <c r="W4" s="2" t="s">
        <v>82</v>
      </c>
      <c r="X4" s="28">
        <f>IFERROR(NOON!F25,"")</f>
        <v>1107</v>
      </c>
      <c r="Y4" s="28">
        <f>IFERROR(NOON!F26,"")</f>
        <v>0</v>
      </c>
      <c r="Z4" s="28">
        <f>IFERROR(NOON!F27,"")</f>
        <v>327.97</v>
      </c>
      <c r="AA4" s="28">
        <f>IFERROR(NOON!F28,"")</f>
        <v>1830</v>
      </c>
      <c r="AB4" s="28">
        <f>IF($U$4&lt;&gt;"",(X3+Y3)-(X4+Y4),"")</f>
        <v>0</v>
      </c>
      <c r="AC4" s="28">
        <f>IF($U$4&lt;&gt;"",Z3-Z4,"")</f>
        <v>8.8299999999999841</v>
      </c>
      <c r="AD4" s="28">
        <f>IF($U$4&lt;&gt;"",AA3-AA4,"")</f>
        <v>1025</v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>15</v>
      </c>
      <c r="K5" s="3" t="str">
        <f>IF(LEN(NOON!J21)=8,IFERROR(MID(NOON!J21,3,2),""),IFERROR(MID(NOON!J21,2,2),""))</f>
        <v>01</v>
      </c>
      <c r="L5" s="4" t="str">
        <f>IFERROR(RIGHT(NOON!J21,4),"")</f>
        <v>2025</v>
      </c>
      <c r="M5" s="3" t="str">
        <f>IFERROR(IF(LEN(NOON!J22)=3,LEFT(NOON!J22,1),IF(LEN(NOON!J22)=4,LEFT(NOON!J22,2),"")),"")</f>
        <v>14</v>
      </c>
      <c r="N5" s="3" t="str">
        <f>IFERROR(RIGHT(NOON!J22,2),"")</f>
        <v>40</v>
      </c>
      <c r="O5" s="3" t="str">
        <f>IFERROR(IF(LEN(NOON!K22)=3,LEFT(NOON!K22,1),IF(LEN(NOON!K22)=4,LEFT(NOON!K22,2),"")),"")</f>
        <v>3</v>
      </c>
      <c r="P5" s="3" t="str">
        <f>IFERROR(RIGHT(NOON!K22,2),"")</f>
        <v>00</v>
      </c>
      <c r="Q5" s="33">
        <f t="shared" si="1"/>
        <v>0.125</v>
      </c>
      <c r="R5" s="5">
        <f t="shared" si="4"/>
        <v>0.61111111111111105</v>
      </c>
      <c r="S5" s="5">
        <f t="shared" si="2"/>
        <v>0.125</v>
      </c>
      <c r="T5" s="6">
        <f t="shared" si="0"/>
        <v>45672.611111111109</v>
      </c>
      <c r="U5" s="34">
        <f t="shared" si="3"/>
        <v>45672.486111111109</v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>16</v>
      </c>
      <c r="K6" s="3" t="str">
        <f>IF(LEN(NOON!J25)=8,IFERROR(MID(NOON!J25,3,2),""),IFERROR(MID(NOON!J25,2,2),""))</f>
        <v>01</v>
      </c>
      <c r="L6" s="4" t="str">
        <f>IFERROR(RIGHT(NOON!J25,4),"")</f>
        <v>2025</v>
      </c>
      <c r="M6" s="3" t="str">
        <f>IFERROR(IF(LEN(NOON!J26)=3,LEFT(NOON!J26,1),IF(LEN(NOON!J26)=4,LEFT(NOON!J26,2),"")),"")</f>
        <v>21</v>
      </c>
      <c r="N6" s="3" t="str">
        <f>IFERROR(RIGHT(NOON!J26,2),"")</f>
        <v>45</v>
      </c>
      <c r="O6" s="3" t="str">
        <f>IFERROR(IF(LEN(NOON!K26)=3,LEFT(NOON!K26,1),IF(LEN(NOON!K26)=4,LEFT(NOON!K26,2),"")),"")</f>
        <v>3</v>
      </c>
      <c r="P6" s="3" t="str">
        <f>IFERROR(RIGHT(NOON!K26,2),"")</f>
        <v>00</v>
      </c>
      <c r="Q6" s="33">
        <f t="shared" si="1"/>
        <v>0.125</v>
      </c>
      <c r="R6" s="5">
        <f t="shared" si="4"/>
        <v>0.90625</v>
      </c>
      <c r="S6" s="5">
        <f t="shared" si="2"/>
        <v>0.125</v>
      </c>
      <c r="T6" s="6">
        <f t="shared" si="0"/>
        <v>45673.90625</v>
      </c>
      <c r="U6" s="34">
        <f t="shared" si="3"/>
        <v>45673.78125</v>
      </c>
      <c r="V6" s="8">
        <f>IFERROR(((24*(U6-U5))),"")</f>
        <v>31.083333333372138</v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22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45679.291666666664</v>
      </c>
      <c r="U7" s="34">
        <f t="shared" si="3"/>
        <v>45679.25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>
        <f>IF(DATA!AD20&lt;&gt;"",DATA!AD20,DATA!AD4)</f>
        <v>1025</v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2025-01-23T11:16:05Z</dcterms:modified>
</cp:coreProperties>
</file>