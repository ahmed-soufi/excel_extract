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<sst xmlns="http://schemas.openxmlformats.org/spreadsheetml/2006/main" count="226" uniqueCount="164">
  <si>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</si>
  <si>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</si>
  <si>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</si>
  <si>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</si>
  <si>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</si>
  <si>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</si>
  <si>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</si>
  <si>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</si>
  <si>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</si>
  <si>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</si>
  <si>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</si>
  <si>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</si>
  <si>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</si>
  <si>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</si>
  <si>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</si>
  <si>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</si>
  <si>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</si>
  <si>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</si>
  <si>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</si>
  <si>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</si>
  <si>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</si>
  <si>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</si>
  <si>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</si>
  <si>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</si>
  <si>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</si>
  <si>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</si>
  <si>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</si>
  <si>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</si>
  <si>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</si>
  <si>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</si>
  <si>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</si>
  <si>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</si>
  <si>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</si>
  <si>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</si>
  <si>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</si>
  <si>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</si>
  <si>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</si>
  <si>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</si>
  <si>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</si>
  <si>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</si>
  <si>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</si>
  <si>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</si>
  <si>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</si>
  <si>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</si>
  <si>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</si>
  <si>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</si>
  <si>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</si>
  <si>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</si>
  <si>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</si>
  <si>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</si>
  <si>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</si>
  <si>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</si>
  <si>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</si>
  <si>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</si>
  <si>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</si>
  <si>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</si>
  <si>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</si>
  <si>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</si>
  <si>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</si>
  <si>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</si>
  <si>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</si>
  <si>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</si>
  <si>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</si>
  <si>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</si>
  <si>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</si>
  <si>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</si>
  <si>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</si>
  <si>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</si>
  <si>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</si>
  <si>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</si>
  <si>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</si>
  <si>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</si>
  <si>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</si>
  <si>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</si>
  <si>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</si>
  <si>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</si>
  <si>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</si>
  <si>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</si>
  <si>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</si>
  <si>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</si>
  <si>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</si>
  <si>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</si>
  <si>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</si>
  <si>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</si>
  <si>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</si>
  <si>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</si>
  <si>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</si>
  <si>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</si>
  <si>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</si>
  <si>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</si>
  <si>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</si>
  <si>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</si>
  <si>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</si>
  <si>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</si>
  <si>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</si>
  <si>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</si>
  <si>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</si>
  <si>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</si>
  <si>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</si>
  <si>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</si>
  <si>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</si>
  <si>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</si>
  <si>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</si>
  <si>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</si>
  <si>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</si>
  <si>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</si>
  <si>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</si>
  <si>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</si>
  <si>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</si>
  <si>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</si>
  <si>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</si>
  <si>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</si>
  <si>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</si>
  <si>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</si>
  <si>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</si>
  <si>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</si>
  <si>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</si>
  <si>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</si>
  <si>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</si>
  <si>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</si>
  <si>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</si>
  <si>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</si>
  <si>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</si>
  <si>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</si>
  <si>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</si>
  <si>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</si>
  <si>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</si>
  <si>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</si>
  <si>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</si>
  <si>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</si>
  <si>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</si>
  <si>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</si>
  <si>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</si>
  <si>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</si>
  <si>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</si>
  <si>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</si>
  <si>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</si>
  <si>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</si>
  <si>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</si>
  <si>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</si>
  <si>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</si>
  <si>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</si>
  <si>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</si>
  <si>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</si>
  <si>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</si>
  <si>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</si>
  <si>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</si>
  <si>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</si>
  <si>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</si>
  <si>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</si>
  <si>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</si>
  <si>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</si>
  <si>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</si>
  <si>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</si>
  <si>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</si>
  <si>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</si>
  <si>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</si>
  <si>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</si>
  <si>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</si>
  <si>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</si>
  <si>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</si>
  <si>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DZAZW</t>
  </si>
  <si>
    <t>04/25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</si>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</sst>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13" sqref="B13:C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>
        <v>0</v>
      </c>
      <c r="G7" s="56"/>
      <c r="I7" s="29" t="s">
        <v>24</v>
      </c>
      <c r="J7" s="68">
        <v>534.6</v>
      </c>
      <c r="K7" s="68"/>
    </row>
    <row r="8" spans="1:11" ht="15" customHeight="1" x14ac:dyDescent="0.25">
      <c r="A8" s="29" t="s">
        <v>6</v>
      </c>
      <c r="B8" s="55" t="s">
        <v>161</v>
      </c>
      <c r="C8" s="55"/>
      <c r="E8" s="36" t="s">
        <v>73</v>
      </c>
      <c r="F8" s="36"/>
      <c r="G8" s="36"/>
      <c r="I8" s="29" t="s">
        <v>34</v>
      </c>
      <c r="J8" s="67">
        <v>675</v>
      </c>
      <c r="K8" s="67"/>
    </row>
    <row r="9" spans="1:11" ht="15" customHeight="1" x14ac:dyDescent="0.25">
      <c r="A9" s="29" t="s">
        <v>0</v>
      </c>
      <c r="B9" s="62">
        <v>31012025</v>
      </c>
      <c r="C9" s="62"/>
      <c r="E9" s="29" t="s">
        <v>76</v>
      </c>
      <c r="F9" s="12">
        <v>-156.88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-156.12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36007</v>
      </c>
      <c r="C11" s="61"/>
      <c r="E11" s="29" t="s">
        <v>77</v>
      </c>
      <c r="F11" s="12">
        <v>-156.41</v>
      </c>
      <c r="G11" s="12"/>
      <c r="I11" s="29" t="s">
        <v>138</v>
      </c>
      <c r="J11" s="65">
        <v>0</v>
      </c>
      <c r="K11" s="65"/>
    </row>
    <row r="12" spans="1:11" ht="15" customHeight="1" x14ac:dyDescent="0.25">
      <c r="A12" s="29" t="s">
        <v>4</v>
      </c>
      <c r="B12" s="58">
        <v>72</v>
      </c>
      <c r="C12" s="59"/>
      <c r="E12" s="29" t="s">
        <v>78</v>
      </c>
      <c r="F12" s="12">
        <v>-150.09</v>
      </c>
      <c r="G12" s="12"/>
      <c r="I12" s="29" t="s">
        <v>48</v>
      </c>
      <c r="J12" s="70">
        <v>124815956</v>
      </c>
      <c r="K12" s="71"/>
    </row>
    <row r="13" spans="1:11" ht="15" customHeight="1" x14ac:dyDescent="0.25">
      <c r="A13" s="29" t="s">
        <v>3</v>
      </c>
      <c r="B13" s="57">
        <v>261</v>
      </c>
      <c r="C13" s="57"/>
      <c r="E13" s="36" t="s">
        <v>158</v>
      </c>
      <c r="F13" s="36"/>
      <c r="G13" s="36"/>
      <c r="I13" s="29" t="s">
        <v>46</v>
      </c>
      <c r="J13" s="70">
        <v>124623597</v>
      </c>
      <c r="K13" s="71"/>
    </row>
    <row r="14" spans="1:11" ht="15" customHeight="1" x14ac:dyDescent="0.25">
      <c r="A14" s="29" t="s">
        <v>137</v>
      </c>
      <c r="B14" s="54">
        <v>0.7</v>
      </c>
      <c r="C14" s="54"/>
      <c r="E14" s="29" t="s">
        <v>76</v>
      </c>
      <c r="F14" s="11">
        <v>1221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2447</v>
      </c>
      <c r="C15" s="53"/>
      <c r="E15" s="29" t="s">
        <v>75</v>
      </c>
      <c r="F15" s="11">
        <v>1219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/>
      <c r="C16" s="53"/>
      <c r="E16" s="29" t="s">
        <v>77</v>
      </c>
      <c r="F16" s="11">
        <v>1219</v>
      </c>
      <c r="G16" s="11"/>
      <c r="I16" s="29" t="s">
        <v>0</v>
      </c>
      <c r="J16" s="62">
        <v>22012025</v>
      </c>
      <c r="K16" s="62"/>
    </row>
    <row r="17" spans="1:11" ht="15" customHeight="1" x14ac:dyDescent="0.25">
      <c r="A17" s="29" t="s">
        <v>49</v>
      </c>
      <c r="B17" s="53">
        <v>281863.67</v>
      </c>
      <c r="C17" s="53"/>
      <c r="E17" s="29" t="s">
        <v>78</v>
      </c>
      <c r="F17" s="11">
        <v>1222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17012025</v>
      </c>
      <c r="C20" s="79"/>
      <c r="E20" s="29" t="s">
        <v>37</v>
      </c>
      <c r="F20" s="46">
        <v>22012025</v>
      </c>
      <c r="G20" s="47"/>
      <c r="I20" s="29" t="s">
        <v>1</v>
      </c>
      <c r="J20" s="50" t="s">
        <v>161</v>
      </c>
      <c r="K20" s="50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78">
        <v>26012025</v>
      </c>
      <c r="K21" s="78"/>
    </row>
    <row r="22" spans="1:11" ht="15" customHeight="1" x14ac:dyDescent="0.25">
      <c r="A22" s="29" t="s">
        <v>31</v>
      </c>
      <c r="B22" s="37">
        <v>140</v>
      </c>
      <c r="C22" s="37"/>
      <c r="D22" s="30"/>
      <c r="E22" s="29" t="s">
        <v>30</v>
      </c>
      <c r="F22" s="45">
        <v>1640</v>
      </c>
      <c r="G22" s="45"/>
      <c r="H22" s="30"/>
      <c r="I22" s="29" t="s">
        <v>53</v>
      </c>
      <c r="J22" s="13">
        <v>1130</v>
      </c>
      <c r="K22" s="18">
        <v>100</v>
      </c>
    </row>
    <row r="23" spans="1:11" ht="15" customHeight="1" x14ac:dyDescent="0.25">
      <c r="A23" s="29" t="s">
        <v>136</v>
      </c>
      <c r="B23" s="37">
        <v>279601</v>
      </c>
      <c r="C23" s="37"/>
      <c r="D23" s="30"/>
      <c r="E23" s="29" t="s">
        <v>135</v>
      </c>
      <c r="F23" s="45">
        <v>281098</v>
      </c>
      <c r="G23" s="45"/>
      <c r="H23" s="30"/>
      <c r="I23" s="29" t="s">
        <v>42</v>
      </c>
      <c r="J23" s="77">
        <v>1898</v>
      </c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>
        <v>1107</v>
      </c>
      <c r="G25" s="38"/>
      <c r="H25" s="30"/>
      <c r="I25" s="29" t="s">
        <v>44</v>
      </c>
      <c r="J25" s="78">
        <v>26012025</v>
      </c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>
        <v>2030</v>
      </c>
      <c r="K26" s="18">
        <v>100</v>
      </c>
    </row>
    <row r="27" spans="1:11" ht="15" customHeight="1" x14ac:dyDescent="0.25">
      <c r="A27" s="29" t="s">
        <v>24</v>
      </c>
      <c r="B27" s="43">
        <v>336.8</v>
      </c>
      <c r="C27" s="43"/>
      <c r="D27" s="30"/>
      <c r="E27" s="29" t="s">
        <v>24</v>
      </c>
      <c r="F27" s="38">
        <v>327.97</v>
      </c>
      <c r="G27" s="38"/>
      <c r="H27" s="30"/>
      <c r="I27" s="29" t="s">
        <v>43</v>
      </c>
      <c r="J27" s="77">
        <v>1899</v>
      </c>
      <c r="K27" s="77"/>
    </row>
    <row r="28" spans="1:11" ht="15" customHeight="1" x14ac:dyDescent="0.25">
      <c r="A28" s="29" t="s">
        <v>34</v>
      </c>
      <c r="B28" s="42">
        <v>2855</v>
      </c>
      <c r="C28" s="42"/>
      <c r="D28" s="30"/>
      <c r="E28" s="29" t="s">
        <v>34</v>
      </c>
      <c r="F28" s="38">
        <v>1830</v>
      </c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 t="str">
        <f>IF(B22="","",IF(F22&lt;&gt;"","",B15-B22))</f>
        <v/>
      </c>
      <c r="C31" s="40"/>
      <c r="E31" s="31" t="s">
        <v>56</v>
      </c>
      <c r="F31" s="51" t="str">
        <f>IF(B32="",DATA!V3,"")</f>
        <v/>
      </c>
      <c r="G31" s="51"/>
      <c r="I31" s="31" t="s">
        <v>57</v>
      </c>
      <c r="J31" s="48" t="str">
        <f>IFERROR(ROUND(B31/F31,1),"")</f>
        <v/>
      </c>
      <c r="K31" s="48"/>
    </row>
    <row r="32" spans="1:11" ht="15" customHeight="1" x14ac:dyDescent="0.25">
      <c r="A32" s="32" t="s">
        <v>58</v>
      </c>
      <c r="B32" s="41">
        <f>IF(F22="","",F22-B22)</f>
        <v>1500</v>
      </c>
      <c r="C32" s="41"/>
      <c r="E32" s="32" t="s">
        <v>150</v>
      </c>
      <c r="F32" s="52">
        <f>IF(B32="","",DATA!V4)</f>
        <v>114.50000000005821</v>
      </c>
      <c r="G32" s="52"/>
      <c r="I32" s="32" t="s">
        <v>59</v>
      </c>
      <c r="J32" s="49">
        <f>IFERROR(ROUND(B32/F32,1),"")</f>
        <v>13.1</v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8.8299999999999841</v>
      </c>
      <c r="G33" s="39"/>
      <c r="I33" s="32" t="s">
        <v>146</v>
      </c>
      <c r="J33" s="44">
        <f>IF(DATA!AD3&lt;&gt;"",DATA!AD3,DATA!AD4)</f>
        <v>1025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31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45688.5</v>
      </c>
      <c r="U2" s="34">
        <f>IFERROR(T2-Q2,"")</f>
        <v>45688.458333333336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534.6</v>
      </c>
      <c r="AA2" s="28">
        <f>IFERROR(NOON!J8,"")</f>
        <v>675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336.50000000005821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22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45679.25</v>
      </c>
      <c r="U4" s="34">
        <f t="shared" si="3"/>
        <v>45679.208333333336</v>
      </c>
      <c r="V4" s="8">
        <f>IFERROR(((24*(U4-U3))),"")</f>
        <v>114.50000000005821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327.97</v>
      </c>
      <c r="AA4" s="28">
        <f>IFERROR(NOON!F28,"")</f>
        <v>1830</v>
      </c>
      <c r="AB4" s="28">
        <f>IF($U$4&lt;&gt;"",(X3+Y3)-(X4+Y4),"")</f>
        <v>0</v>
      </c>
      <c r="AC4" s="28">
        <f>IF($U$4&lt;&gt;"",Z3-Z4,"")</f>
        <v>8.8299999999999841</v>
      </c>
      <c r="AD4" s="28">
        <f>IF($U$4&lt;&gt;"",AA3-AA4,"")</f>
        <v>1025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26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11</v>
      </c>
      <c r="N5" s="3" t="str">
        <f>IFERROR(RIGHT(NOON!J22,2),"")</f>
        <v>30</v>
      </c>
      <c r="O5" s="3" t="str">
        <f>IFERROR(IF(LEN(NOON!K22)=3,LEFT(NOON!K22,1),IF(LEN(NOON!K22)=4,LEFT(NOON!K22,2),"")),"")</f>
        <v>1</v>
      </c>
      <c r="P5" s="3" t="str">
        <f>IFERROR(RIGHT(NOON!K22,2),"")</f>
        <v>00</v>
      </c>
      <c r="Q5" s="33">
        <f t="shared" si="1"/>
        <v>4.1666666666666664E-2</v>
      </c>
      <c r="R5" s="5">
        <f t="shared" si="4"/>
        <v>0.47916666666666669</v>
      </c>
      <c r="S5" s="5">
        <f t="shared" si="2"/>
        <v>4.1666666666666664E-2</v>
      </c>
      <c r="T5" s="6">
        <f t="shared" si="0"/>
        <v>45683.479166666664</v>
      </c>
      <c r="U5" s="34">
        <f t="shared" si="3"/>
        <v>45683.4375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26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20</v>
      </c>
      <c r="N6" s="3" t="str">
        <f>IFERROR(RIGHT(NOON!J26,2),"")</f>
        <v>30</v>
      </c>
      <c r="O6" s="3" t="str">
        <f>IFERROR(IF(LEN(NOON!K26)=3,LEFT(NOON!K26,1),IF(LEN(NOON!K26)=4,LEFT(NOON!K26,2),"")),"")</f>
        <v>1</v>
      </c>
      <c r="P6" s="3" t="str">
        <f>IFERROR(RIGHT(NOON!K26,2),"")</f>
        <v>00</v>
      </c>
      <c r="Q6" s="33">
        <f t="shared" si="1"/>
        <v>4.1666666666666664E-2</v>
      </c>
      <c r="R6" s="5">
        <f t="shared" si="4"/>
        <v>0.85416666666666663</v>
      </c>
      <c r="S6" s="5">
        <f t="shared" si="2"/>
        <v>4.1666666666666664E-2</v>
      </c>
      <c r="T6" s="6">
        <f t="shared" si="0"/>
        <v>45683.854166666664</v>
      </c>
      <c r="U6" s="34">
        <f t="shared" si="3"/>
        <v>45683.8125</v>
      </c>
      <c r="V6" s="8">
        <f>IFERROR(((24*(U6-U5))),"")</f>
        <v>9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1025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2025-01-31T11:21:29Z</dcterms:modified>
</cp:coreProperties>
</file>